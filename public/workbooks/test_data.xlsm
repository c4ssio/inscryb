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autoCompressPictures="0" defaultThemeVersion="124226"/>
  <bookViews>
    <workbookView xWindow="120" yWindow="108" windowWidth="8472" windowHeight="5616"/>
  </bookViews>
  <sheets>
    <sheet name="export" sheetId="4" r:id="rId1"/>
    <sheet name="test_data" sheetId="1" r:id="rId2"/>
    <sheet name="user" sheetId="2" r:id="rId3"/>
    <sheet name="grid_mark_place" sheetId="3" r:id="rId4"/>
  </sheets>
  <calcPr calcId="125725"/>
</workbook>
</file>

<file path=xl/calcChain.xml><?xml version="1.0" encoding="utf-8"?>
<calcChain xmlns="http://schemas.openxmlformats.org/spreadsheetml/2006/main">
  <c r="J106" i="1"/>
  <c r="J105"/>
  <c r="A3"/>
  <c r="J3"/>
  <c r="J4"/>
  <c r="A4"/>
  <c r="J5" s="1"/>
  <c r="A5"/>
  <c r="A6" s="1"/>
  <c r="B70" i="3"/>
  <c r="B25"/>
  <c r="B39"/>
  <c r="B55"/>
  <c r="B61"/>
  <c r="B63"/>
  <c r="B65"/>
  <c r="B67"/>
  <c r="B69"/>
  <c r="B71"/>
  <c r="B75"/>
  <c r="B77"/>
  <c r="B79"/>
  <c r="B83"/>
  <c r="B24"/>
  <c r="B26"/>
  <c r="B30"/>
  <c r="B32"/>
  <c r="B54"/>
  <c r="B60"/>
  <c r="B62"/>
  <c r="B64"/>
  <c r="B66"/>
  <c r="B72"/>
  <c r="B74"/>
  <c r="B76"/>
  <c r="B78"/>
  <c r="B82"/>
  <c r="B36"/>
  <c r="B35"/>
  <c r="B31"/>
  <c r="B28"/>
  <c r="B56"/>
  <c r="B29"/>
  <c r="B27"/>
  <c r="B38"/>
  <c r="B73"/>
  <c r="B37"/>
  <c r="B94"/>
  <c r="B92"/>
  <c r="B90"/>
  <c r="B88"/>
  <c r="B86"/>
  <c r="B50"/>
  <c r="B42"/>
  <c r="B40"/>
  <c r="B95"/>
  <c r="B93"/>
  <c r="B91"/>
  <c r="B89"/>
  <c r="B87"/>
  <c r="B41"/>
  <c r="B80"/>
  <c r="B44"/>
  <c r="B81"/>
  <c r="B45"/>
  <c r="B51"/>
  <c r="B43"/>
  <c r="B48"/>
  <c r="B46"/>
  <c r="B57"/>
  <c r="B47"/>
  <c r="B49"/>
  <c r="B68"/>
  <c r="B58"/>
  <c r="B59"/>
  <c r="B52"/>
  <c r="B53"/>
  <c r="B84"/>
  <c r="B34"/>
  <c r="B85"/>
  <c r="B33"/>
  <c r="F32" i="1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J6" l="1"/>
  <c r="A7"/>
  <c r="A8" s="1"/>
  <c r="J10"/>
  <c r="J8"/>
  <c r="J16"/>
  <c r="J17"/>
  <c r="B2" i="3"/>
  <c r="J7" i="1"/>
  <c r="J9"/>
  <c r="J11"/>
  <c r="J13" l="1"/>
  <c r="J31"/>
  <c r="J30"/>
  <c r="J20"/>
  <c r="J23"/>
  <c r="J22"/>
  <c r="A9"/>
  <c r="J21"/>
  <c r="J12"/>
  <c r="J15"/>
  <c r="J19"/>
  <c r="J14"/>
  <c r="J18"/>
  <c r="A10"/>
  <c r="J26"/>
  <c r="J24"/>
  <c r="J27"/>
  <c r="J25"/>
  <c r="J28" l="1"/>
  <c r="A11"/>
  <c r="J29"/>
  <c r="A12" l="1"/>
  <c r="J32"/>
  <c r="K35" l="1"/>
  <c r="K42"/>
  <c r="A13"/>
  <c r="K65"/>
  <c r="B3" i="3"/>
  <c r="K33" i="1"/>
  <c r="K34"/>
  <c r="A14" l="1"/>
  <c r="K66"/>
  <c r="B4" i="3"/>
  <c r="K40" i="1"/>
  <c r="K71"/>
  <c r="K41" l="1"/>
  <c r="K46"/>
  <c r="A15"/>
  <c r="B5" i="3"/>
  <c r="K45" i="1"/>
  <c r="A16" l="1"/>
  <c r="B6" i="3"/>
  <c r="K38" i="1"/>
  <c r="K37" l="1"/>
  <c r="A17"/>
  <c r="K67"/>
  <c r="B7" i="3"/>
  <c r="K39" i="1"/>
  <c r="A18" l="1"/>
  <c r="B8" i="3"/>
  <c r="K47" i="1"/>
  <c r="B9" i="3" l="1"/>
  <c r="A19" i="1"/>
  <c r="A20" l="1"/>
  <c r="B10" i="3"/>
  <c r="K53" i="1" l="1"/>
  <c r="K61"/>
  <c r="K51"/>
  <c r="A21"/>
  <c r="B11" i="3"/>
  <c r="K52" i="1"/>
  <c r="A22" l="1"/>
  <c r="B12" i="3"/>
  <c r="K55" i="1"/>
  <c r="B13" i="3" l="1"/>
  <c r="A23" i="1"/>
  <c r="K56"/>
  <c r="A24" l="1"/>
  <c r="B14" i="3"/>
  <c r="K62" i="1"/>
  <c r="K54"/>
  <c r="A25" l="1"/>
  <c r="B15" i="3"/>
  <c r="A26" i="1" l="1"/>
  <c r="B16" i="3"/>
  <c r="K68" i="1" l="1"/>
  <c r="K59"/>
  <c r="K58"/>
  <c r="B17" i="3"/>
  <c r="A27" i="1"/>
  <c r="K57"/>
  <c r="A28" l="1"/>
  <c r="B18" i="3"/>
  <c r="K60" i="1"/>
  <c r="K70" l="1"/>
  <c r="A29"/>
  <c r="K69"/>
  <c r="B19" i="3"/>
  <c r="A30" i="1" l="1"/>
  <c r="B20" i="3"/>
  <c r="K63" i="1"/>
  <c r="K64"/>
  <c r="B21" i="3" l="1"/>
  <c r="K44" i="1"/>
  <c r="A31"/>
  <c r="A32" l="1"/>
  <c r="B22" i="3"/>
  <c r="K43" i="1"/>
  <c r="A33" l="1"/>
  <c r="A34" s="1"/>
  <c r="B23" i="3"/>
  <c r="J93" i="1" l="1"/>
  <c r="J91"/>
  <c r="J90"/>
  <c r="A35"/>
  <c r="J92"/>
  <c r="A36" l="1"/>
  <c r="A37" s="1"/>
  <c r="A38" s="1"/>
  <c r="A39" s="1"/>
  <c r="A40" s="1"/>
  <c r="A41" s="1"/>
  <c r="A42" s="1"/>
  <c r="J49"/>
  <c r="J36"/>
  <c r="J97" l="1"/>
  <c r="A43"/>
  <c r="A44" l="1"/>
  <c r="J99"/>
  <c r="J98" l="1"/>
  <c r="A45"/>
  <c r="A46" s="1"/>
  <c r="A47" s="1"/>
  <c r="A48" l="1"/>
  <c r="G48"/>
  <c r="A49" l="1"/>
  <c r="K86"/>
  <c r="A50" l="1"/>
  <c r="A51" s="1"/>
  <c r="J50"/>
  <c r="H72"/>
  <c r="K87"/>
  <c r="A52" l="1"/>
  <c r="A53" s="1"/>
  <c r="A54" s="1"/>
  <c r="A55" s="1"/>
  <c r="J100"/>
  <c r="A56" l="1"/>
  <c r="J94"/>
  <c r="J95" l="1"/>
  <c r="A57"/>
  <c r="A58" s="1"/>
  <c r="A59" s="1"/>
  <c r="A60" s="1"/>
  <c r="A61" s="1"/>
  <c r="A62" s="1"/>
  <c r="A63" s="1"/>
  <c r="A64" s="1"/>
  <c r="A65" s="1"/>
  <c r="A66" l="1"/>
  <c r="K96"/>
  <c r="K85"/>
  <c r="K83"/>
  <c r="K84" l="1"/>
  <c r="A67"/>
  <c r="A68" s="1"/>
  <c r="A69" s="1"/>
  <c r="A70" s="1"/>
  <c r="A71" s="1"/>
  <c r="A72" l="1"/>
  <c r="J79"/>
  <c r="J82"/>
  <c r="J76" l="1"/>
  <c r="J73"/>
  <c r="J88"/>
  <c r="A73"/>
  <c r="A74" l="1"/>
  <c r="A75" s="1"/>
  <c r="A76" s="1"/>
  <c r="G75"/>
  <c r="G74"/>
  <c r="J77" l="1"/>
  <c r="A77"/>
  <c r="A78" l="1"/>
  <c r="A79" s="1"/>
  <c r="G78"/>
  <c r="A80" l="1"/>
  <c r="A81" s="1"/>
  <c r="A82" s="1"/>
  <c r="A83" s="1"/>
  <c r="A84" s="1"/>
  <c r="G80"/>
  <c r="J81"/>
  <c r="A85" l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J89"/>
  <c r="A101" l="1"/>
  <c r="K101"/>
  <c r="H104" l="1"/>
  <c r="J103"/>
  <c r="J102"/>
  <c r="J107"/>
  <c r="A102"/>
  <c r="A103" l="1"/>
  <c r="A104" s="1"/>
  <c r="A105" s="1"/>
  <c r="L105"/>
  <c r="L106" l="1"/>
  <c r="A106"/>
  <c r="A107" s="1"/>
  <c r="A108" l="1"/>
  <c r="K108"/>
  <c r="A109" l="1"/>
  <c r="J109"/>
</calcChain>
</file>

<file path=xl/sharedStrings.xml><?xml version="1.0" encoding="utf-8"?>
<sst xmlns="http://schemas.openxmlformats.org/spreadsheetml/2006/main" count="1027" uniqueCount="272">
  <si>
    <t>lid</t>
  </si>
  <si>
    <t>ROW46</t>
  </si>
  <si>
    <t>chair</t>
  </si>
  <si>
    <t>couch</t>
  </si>
  <si>
    <t>plate</t>
  </si>
  <si>
    <t>paper</t>
  </si>
  <si>
    <t>bread</t>
  </si>
  <si>
    <t>milk</t>
  </si>
  <si>
    <t>beer</t>
  </si>
  <si>
    <t>drink</t>
  </si>
  <si>
    <t>furniture</t>
  </si>
  <si>
    <t>loaf of bread</t>
  </si>
  <si>
    <t>food</t>
  </si>
  <si>
    <t>cup of coffee</t>
  </si>
  <si>
    <t>white</t>
  </si>
  <si>
    <t>green</t>
  </si>
  <si>
    <t>furniture store</t>
  </si>
  <si>
    <t>2nd floor</t>
  </si>
  <si>
    <t>building floor</t>
  </si>
  <si>
    <t>store</t>
  </si>
  <si>
    <t>street sign</t>
  </si>
  <si>
    <t>on</t>
  </si>
  <si>
    <t>sign</t>
  </si>
  <si>
    <t>of</t>
  </si>
  <si>
    <t>thai iced coffee</t>
  </si>
  <si>
    <t>carton</t>
  </si>
  <si>
    <t>bottle</t>
  </si>
  <si>
    <t>glass</t>
  </si>
  <si>
    <t>lers ros</t>
  </si>
  <si>
    <t>larkin &amp; ofarrell</t>
  </si>
  <si>
    <t>thai house express</t>
  </si>
  <si>
    <t>at</t>
  </si>
  <si>
    <t>desk</t>
  </si>
  <si>
    <t>office chair</t>
  </si>
  <si>
    <t>office</t>
  </si>
  <si>
    <t>StarMine office</t>
  </si>
  <si>
    <t>4th floor</t>
  </si>
  <si>
    <t>coffee machine</t>
  </si>
  <si>
    <t>appliance</t>
  </si>
  <si>
    <t>carpet</t>
  </si>
  <si>
    <t>floor</t>
  </si>
  <si>
    <t>surface</t>
  </si>
  <si>
    <t>wall</t>
  </si>
  <si>
    <t>cup rack</t>
  </si>
  <si>
    <t>height</t>
  </si>
  <si>
    <t>width</t>
  </si>
  <si>
    <t>length</t>
  </si>
  <si>
    <t>price</t>
  </si>
  <si>
    <t>weight</t>
  </si>
  <si>
    <t>0.07m</t>
  </si>
  <si>
    <t>0.16m</t>
  </si>
  <si>
    <t>political beliefs</t>
  </si>
  <si>
    <t>preferences</t>
  </si>
  <si>
    <t>health conditions</t>
  </si>
  <si>
    <t>appearance</t>
  </si>
  <si>
    <t>contact information</t>
  </si>
  <si>
    <t>friends</t>
  </si>
  <si>
    <t>history</t>
  </si>
  <si>
    <t>ratings</t>
  </si>
  <si>
    <t>references</t>
  </si>
  <si>
    <t>inbox</t>
  </si>
  <si>
    <t>user stats</t>
  </si>
  <si>
    <t>tags added</t>
  </si>
  <si>
    <t>public service rank</t>
  </si>
  <si>
    <t>new terms added</t>
  </si>
  <si>
    <t>new places added</t>
  </si>
  <si>
    <t>new owners added</t>
  </si>
  <si>
    <t>grid_mark_place</t>
  </si>
  <si>
    <t>10.0dollars</t>
  </si>
  <si>
    <t>120g</t>
  </si>
  <si>
    <t>polk &amp; ofarrell, sf</t>
  </si>
  <si>
    <t>polk &amp; geary, sf</t>
  </si>
  <si>
    <t>polk &amp; post, sf</t>
  </si>
  <si>
    <t>polk &amp; sutter, sf</t>
  </si>
  <si>
    <t>van ness &amp; ofarrell, sf</t>
  </si>
  <si>
    <t>van ness &amp; geary, sf</t>
  </si>
  <si>
    <t>van ness &amp; post, sf</t>
  </si>
  <si>
    <t>van ness &amp; sutter, sf</t>
  </si>
  <si>
    <t>howard &amp; fremont, sf</t>
  </si>
  <si>
    <t>howard &amp; beale, sf</t>
  </si>
  <si>
    <t>mission &amp; fremont, sf</t>
  </si>
  <si>
    <t>mission &amp; beale, sf</t>
  </si>
  <si>
    <t>4th &amp; townsend, sf</t>
  </si>
  <si>
    <t>3rd &amp; townsend, sf</t>
  </si>
  <si>
    <t>4th &amp; king, sf</t>
  </si>
  <si>
    <t>4th &amp; berry, sf</t>
  </si>
  <si>
    <t>polk &amp; sacramento, sf</t>
  </si>
  <si>
    <t>polk &amp; california, sf</t>
  </si>
  <si>
    <t>larkin &amp; geary, sf</t>
  </si>
  <si>
    <t>larkin &amp; ofarrell, sf</t>
  </si>
  <si>
    <t>geary &amp; powell, sf</t>
  </si>
  <si>
    <t>ROW2</t>
  </si>
  <si>
    <t>ROW6</t>
  </si>
  <si>
    <t>ROW5</t>
  </si>
  <si>
    <t>ROW3</t>
  </si>
  <si>
    <t>ROW4</t>
  </si>
  <si>
    <t>ROW21</t>
  </si>
  <si>
    <t>ROW7</t>
  </si>
  <si>
    <t>ROW25</t>
  </si>
  <si>
    <t>ROW11</t>
  </si>
  <si>
    <t>ROW12</t>
  </si>
  <si>
    <t>ROW1</t>
  </si>
  <si>
    <t>ROW10</t>
  </si>
  <si>
    <t>ROW16</t>
  </si>
  <si>
    <t>lobby</t>
  </si>
  <si>
    <t>room</t>
  </si>
  <si>
    <t>kitchen</t>
  </si>
  <si>
    <t>box</t>
  </si>
  <si>
    <t>teapot</t>
  </si>
  <si>
    <t>name</t>
  </si>
  <si>
    <t>san francisco</t>
  </si>
  <si>
    <t>city</t>
  </si>
  <si>
    <t>place</t>
  </si>
  <si>
    <t>neighborhood</t>
  </si>
  <si>
    <t>coffee shop</t>
  </si>
  <si>
    <t>item</t>
  </si>
  <si>
    <t>coffee cup</t>
  </si>
  <si>
    <t>type</t>
  </si>
  <si>
    <t>san francisco, ca</t>
  </si>
  <si>
    <t>address</t>
  </si>
  <si>
    <t>part of</t>
  </si>
  <si>
    <t>located in</t>
  </si>
  <si>
    <t>in</t>
  </si>
  <si>
    <t>polk &amp; ofarrell</t>
  </si>
  <si>
    <t>trinity towers</t>
  </si>
  <si>
    <t>building</t>
  </si>
  <si>
    <t>great american music hall</t>
  </si>
  <si>
    <t>performance venue</t>
  </si>
  <si>
    <t>bread and butter market</t>
  </si>
  <si>
    <t>convenience store</t>
  </si>
  <si>
    <t>van ness &amp; ofarrell</t>
  </si>
  <si>
    <t>polk &amp; geary</t>
  </si>
  <si>
    <t>polk &amp; post</t>
  </si>
  <si>
    <t>polk &amp; sutter</t>
  </si>
  <si>
    <t>van ness &amp; geary</t>
  </si>
  <si>
    <t>van ness &amp; post</t>
  </si>
  <si>
    <t>van ness &amp; sutter</t>
  </si>
  <si>
    <t>soma</t>
  </si>
  <si>
    <t>howard &amp; fremont</t>
  </si>
  <si>
    <t>howard &amp; beale</t>
  </si>
  <si>
    <t>mission &amp; fremont</t>
  </si>
  <si>
    <t>mission &amp; beale</t>
  </si>
  <si>
    <t>4th &amp; townsend</t>
  </si>
  <si>
    <t>3rd &amp; townsend</t>
  </si>
  <si>
    <t>4th &amp; king</t>
  </si>
  <si>
    <t>4th &amp; berry</t>
  </si>
  <si>
    <t>mission bay</t>
  </si>
  <si>
    <t>nob hill</t>
  </si>
  <si>
    <t>polk &amp; sacramento</t>
  </si>
  <si>
    <t>polk &amp; california</t>
  </si>
  <si>
    <t>larkin &amp; geary</t>
  </si>
  <si>
    <t>geary &amp; powell</t>
  </si>
  <si>
    <t>union square</t>
  </si>
  <si>
    <t>amc van ness</t>
  </si>
  <si>
    <t>movie theater</t>
  </si>
  <si>
    <t>859 Ofarrell St, sf</t>
  </si>
  <si>
    <t>888 Ofarrell St #105, sf</t>
  </si>
  <si>
    <t>888 Ofarrell St, sf</t>
  </si>
  <si>
    <t>quetzal internet café</t>
  </si>
  <si>
    <t>234 Polk St, sf</t>
  </si>
  <si>
    <t>1000 van ness, sf</t>
  </si>
  <si>
    <t>crunch fitness</t>
  </si>
  <si>
    <t>gym</t>
  </si>
  <si>
    <t>1000 Van Ness, sf</t>
  </si>
  <si>
    <t>polk valley cleaners</t>
  </si>
  <si>
    <t>dry cleaning &amp; laundry</t>
  </si>
  <si>
    <t>corner store</t>
  </si>
  <si>
    <t>thai restaurant</t>
  </si>
  <si>
    <t>restaurant</t>
  </si>
  <si>
    <t>lush lounge</t>
  </si>
  <si>
    <t>bar</t>
  </si>
  <si>
    <t>hemlock tavern</t>
  </si>
  <si>
    <t>apartment</t>
  </si>
  <si>
    <t>199 Fremont</t>
  </si>
  <si>
    <t>sushi place</t>
  </si>
  <si>
    <t>quizno's</t>
  </si>
  <si>
    <t>starbucks</t>
  </si>
  <si>
    <t>safeway</t>
  </si>
  <si>
    <t>grocery store</t>
  </si>
  <si>
    <t>tan bella</t>
  </si>
  <si>
    <t>tanning salon</t>
  </si>
  <si>
    <t>philz coffee</t>
  </si>
  <si>
    <t>hair salon</t>
  </si>
  <si>
    <t>falafel place</t>
  </si>
  <si>
    <t>washington mutual</t>
  </si>
  <si>
    <t>bank</t>
  </si>
  <si>
    <t>sidewalk</t>
  </si>
  <si>
    <t>brownie's hardware</t>
  </si>
  <si>
    <t>hardware store</t>
  </si>
  <si>
    <t>1563 Polk St, San Francisco, CA‎</t>
  </si>
  <si>
    <t>auto shop</t>
  </si>
  <si>
    <t>auto repair</t>
  </si>
  <si>
    <t>cup</t>
  </si>
  <si>
    <t>color</t>
  </si>
  <si>
    <t>age</t>
  </si>
  <si>
    <t>handle</t>
  </si>
  <si>
    <t>label</t>
  </si>
  <si>
    <t>old</t>
  </si>
  <si>
    <t>red</t>
  </si>
  <si>
    <t>cupboard</t>
  </si>
  <si>
    <t>blue honda</t>
  </si>
  <si>
    <t>car</t>
  </si>
  <si>
    <t>blue</t>
  </si>
  <si>
    <t>tire</t>
  </si>
  <si>
    <t>brand</t>
  </si>
  <si>
    <t>goodyear</t>
  </si>
  <si>
    <t>coaltrain</t>
  </si>
  <si>
    <t>honda</t>
  </si>
  <si>
    <t>solo</t>
  </si>
  <si>
    <t>condition</t>
  </si>
  <si>
    <t>flat</t>
  </si>
  <si>
    <t>wrench</t>
  </si>
  <si>
    <t>socket wrench</t>
  </si>
  <si>
    <t>new</t>
  </si>
  <si>
    <t>trash can</t>
  </si>
  <si>
    <t>mailbox</t>
  </si>
  <si>
    <t>cross street</t>
  </si>
  <si>
    <t>thing_type</t>
  </si>
  <si>
    <t>thing_id</t>
  </si>
  <si>
    <t>tenderloin</t>
  </si>
  <si>
    <t>tenderloin, sf</t>
  </si>
  <si>
    <t>soma, sf</t>
  </si>
  <si>
    <t>mission bay, sf</t>
  </si>
  <si>
    <t>nob hill, sf</t>
  </si>
  <si>
    <t>union square, sf</t>
  </si>
  <si>
    <t>ROW30</t>
  </si>
  <si>
    <t>ROW8</t>
  </si>
  <si>
    <t>ROW9</t>
  </si>
  <si>
    <t>ROW26</t>
  </si>
  <si>
    <t>ROW42</t>
  </si>
  <si>
    <t>ROW15</t>
  </si>
  <si>
    <t>ROW22</t>
  </si>
  <si>
    <t>ROW71</t>
  </si>
  <si>
    <t>ROW72</t>
  </si>
  <si>
    <t>ROW43</t>
  </si>
  <si>
    <t>ROW29</t>
  </si>
  <si>
    <t>ROW50</t>
  </si>
  <si>
    <t>ROW100</t>
  </si>
  <si>
    <t>under</t>
  </si>
  <si>
    <t>United States</t>
  </si>
  <si>
    <t>California</t>
  </si>
  <si>
    <t>World</t>
  </si>
  <si>
    <t>planet</t>
  </si>
  <si>
    <t>country</t>
  </si>
  <si>
    <t>North America</t>
  </si>
  <si>
    <t>region</t>
  </si>
  <si>
    <t>state</t>
  </si>
  <si>
    <t>ROW34</t>
  </si>
  <si>
    <t>ROW14</t>
  </si>
  <si>
    <t>ROW13</t>
  </si>
  <si>
    <t>ROW48</t>
  </si>
  <si>
    <t>ROW19</t>
  </si>
  <si>
    <t>ROW20</t>
  </si>
  <si>
    <t>ROW28</t>
  </si>
  <si>
    <t>ROW27</t>
  </si>
  <si>
    <t>ROW75</t>
  </si>
  <si>
    <t>ROW76</t>
  </si>
  <si>
    <t>ROW70</t>
  </si>
  <si>
    <t>ROW78</t>
  </si>
  <si>
    <t>ROW64</t>
  </si>
  <si>
    <t>ROW65</t>
  </si>
  <si>
    <t>ROW47</t>
  </si>
  <si>
    <t>ROW83</t>
  </si>
  <si>
    <t>ROW33</t>
  </si>
  <si>
    <t>ROW54</t>
  </si>
  <si>
    <t>ROW55</t>
  </si>
  <si>
    <t>ROW41</t>
  </si>
  <si>
    <t>ROW99</t>
  </si>
  <si>
    <t>ROW101</t>
  </si>
  <si>
    <t>ROW104</t>
  </si>
  <si>
    <t>ROW106</t>
  </si>
  <si>
    <t>ROW107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</si>
</sst>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8"/>
      <name val="Trebuchet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published="0" enableFormatConditionsCalculation="0"/>
  <dimension ref="A1:W109"/>
  <sheetViews>
    <sheetView tabSelected="1" workbookViewId="0">
      <pane ySplit="1" topLeftCell="A95" activePane="bottomLeft" state="frozen"/>
      <selection pane="bottomLeft" activeCell="B109" sqref="B109"/>
    </sheetView>
  </sheetViews>
  <sheetFormatPr defaultColWidth="12.33203125" defaultRowHeight="14.4" outlineLevelCol="2"/>
  <cols>
    <col min="2" max="2" width="14.44140625" customWidth="1"/>
    <col min="3" max="3" width="15.5546875" customWidth="1"/>
    <col min="4" max="4" width="18.6640625" bestFit="1" customWidth="1"/>
    <col min="5" max="5" width="18.6640625" customWidth="1"/>
    <col min="6" max="6" width="18.109375" customWidth="1" outlineLevel="2"/>
    <col min="7" max="7" width="15.6640625" bestFit="1" customWidth="1"/>
  </cols>
  <sheetData>
    <row r="1" spans="1:23">
      <c r="A1" t="s">
        <v>218</v>
      </c>
      <c r="B1" t="s">
        <v>217</v>
      </c>
      <c r="C1" t="s">
        <v>109</v>
      </c>
      <c r="D1" t="s">
        <v>117</v>
      </c>
      <c r="E1" t="s">
        <v>117</v>
      </c>
      <c r="F1" t="s">
        <v>119</v>
      </c>
      <c r="G1" t="s">
        <v>120</v>
      </c>
      <c r="H1" t="s">
        <v>121</v>
      </c>
      <c r="I1" t="s">
        <v>23</v>
      </c>
      <c r="J1" t="s">
        <v>122</v>
      </c>
      <c r="K1" t="s">
        <v>21</v>
      </c>
      <c r="L1" t="s">
        <v>238</v>
      </c>
      <c r="M1" t="s">
        <v>31</v>
      </c>
      <c r="N1" t="s">
        <v>193</v>
      </c>
      <c r="O1" t="s">
        <v>193</v>
      </c>
      <c r="P1" t="s">
        <v>194</v>
      </c>
      <c r="Q1" t="s">
        <v>204</v>
      </c>
      <c r="R1" t="s">
        <v>209</v>
      </c>
      <c r="S1" t="s">
        <v>46</v>
      </c>
      <c r="T1" t="s">
        <v>44</v>
      </c>
      <c r="U1" t="s">
        <v>45</v>
      </c>
      <c r="V1" t="s">
        <v>47</v>
      </c>
      <c r="W1" t="s">
        <v>48</v>
      </c>
    </row>
    <row r="2" spans="1:23">
      <c r="B2" t="s">
        <v>112</v>
      </c>
      <c r="C2" t="s">
        <v>241</v>
      </c>
      <c r="D2" t="s">
        <v>242</v>
      </c>
    </row>
    <row r="3" spans="1:23">
      <c r="B3" t="s">
        <v>112</v>
      </c>
      <c r="C3" t="s">
        <v>244</v>
      </c>
      <c r="D3" t="s">
        <v>245</v>
      </c>
      <c r="F3" t="s">
        <v>244</v>
      </c>
      <c r="J3" t="s">
        <v>101</v>
      </c>
    </row>
    <row r="4" spans="1:23">
      <c r="B4" t="s">
        <v>112</v>
      </c>
      <c r="C4" t="s">
        <v>239</v>
      </c>
      <c r="D4" t="s">
        <v>243</v>
      </c>
      <c r="F4" t="s">
        <v>239</v>
      </c>
      <c r="J4" t="s">
        <v>91</v>
      </c>
    </row>
    <row r="5" spans="1:23">
      <c r="B5" t="s">
        <v>112</v>
      </c>
      <c r="C5" t="s">
        <v>240</v>
      </c>
      <c r="D5" t="s">
        <v>246</v>
      </c>
      <c r="F5" t="s">
        <v>240</v>
      </c>
      <c r="J5" t="s">
        <v>94</v>
      </c>
    </row>
    <row r="6" spans="1:23">
      <c r="B6" t="s">
        <v>112</v>
      </c>
      <c r="C6" t="s">
        <v>110</v>
      </c>
      <c r="D6" t="s">
        <v>111</v>
      </c>
      <c r="F6" t="s">
        <v>118</v>
      </c>
      <c r="J6" t="s">
        <v>95</v>
      </c>
    </row>
    <row r="7" spans="1:23">
      <c r="B7" t="s">
        <v>112</v>
      </c>
      <c r="C7" t="s">
        <v>219</v>
      </c>
      <c r="D7" t="s">
        <v>113</v>
      </c>
      <c r="F7" t="s">
        <v>220</v>
      </c>
      <c r="J7" t="s">
        <v>93</v>
      </c>
    </row>
    <row r="8" spans="1:23">
      <c r="B8" t="s">
        <v>112</v>
      </c>
      <c r="C8" t="s">
        <v>137</v>
      </c>
      <c r="D8" t="s">
        <v>113</v>
      </c>
      <c r="F8" t="s">
        <v>221</v>
      </c>
      <c r="J8" t="s">
        <v>93</v>
      </c>
    </row>
    <row r="9" spans="1:23">
      <c r="B9" t="s">
        <v>112</v>
      </c>
      <c r="C9" t="s">
        <v>146</v>
      </c>
      <c r="D9" t="s">
        <v>113</v>
      </c>
      <c r="F9" t="s">
        <v>222</v>
      </c>
      <c r="J9" t="s">
        <v>93</v>
      </c>
    </row>
    <row r="10" spans="1:23">
      <c r="B10" t="s">
        <v>112</v>
      </c>
      <c r="C10" t="s">
        <v>147</v>
      </c>
      <c r="D10" t="s">
        <v>113</v>
      </c>
      <c r="F10" t="s">
        <v>223</v>
      </c>
      <c r="J10" t="s">
        <v>93</v>
      </c>
    </row>
    <row r="11" spans="1:23">
      <c r="B11" t="s">
        <v>112</v>
      </c>
      <c r="C11" t="s">
        <v>152</v>
      </c>
      <c r="D11" t="s">
        <v>113</v>
      </c>
      <c r="F11" t="s">
        <v>224</v>
      </c>
      <c r="J11" t="s">
        <v>93</v>
      </c>
    </row>
    <row r="12" spans="1:23">
      <c r="B12" t="s">
        <v>112</v>
      </c>
      <c r="C12" t="s">
        <v>123</v>
      </c>
      <c r="D12" t="s">
        <v>216</v>
      </c>
      <c r="F12" t="s">
        <v>70</v>
      </c>
      <c r="J12" t="s">
        <v>92</v>
      </c>
    </row>
    <row r="13" spans="1:23">
      <c r="B13" t="s">
        <v>112</v>
      </c>
      <c r="C13" t="s">
        <v>131</v>
      </c>
      <c r="D13" t="s">
        <v>216</v>
      </c>
      <c r="F13" t="s">
        <v>71</v>
      </c>
      <c r="J13" t="s">
        <v>92</v>
      </c>
    </row>
    <row r="14" spans="1:23">
      <c r="B14" t="s">
        <v>112</v>
      </c>
      <c r="C14" t="s">
        <v>132</v>
      </c>
      <c r="D14" t="s">
        <v>216</v>
      </c>
      <c r="F14" t="s">
        <v>72</v>
      </c>
      <c r="J14" t="s">
        <v>92</v>
      </c>
    </row>
    <row r="15" spans="1:23">
      <c r="B15" t="s">
        <v>112</v>
      </c>
      <c r="C15" t="s">
        <v>133</v>
      </c>
      <c r="D15" t="s">
        <v>216</v>
      </c>
      <c r="F15" t="s">
        <v>73</v>
      </c>
      <c r="J15" t="s">
        <v>92</v>
      </c>
    </row>
    <row r="16" spans="1:23">
      <c r="B16" t="s">
        <v>112</v>
      </c>
      <c r="C16" t="s">
        <v>130</v>
      </c>
      <c r="D16" t="s">
        <v>216</v>
      </c>
      <c r="F16" t="s">
        <v>74</v>
      </c>
      <c r="J16" t="s">
        <v>92</v>
      </c>
    </row>
    <row r="17" spans="2:10">
      <c r="B17" t="s">
        <v>112</v>
      </c>
      <c r="C17" t="s">
        <v>134</v>
      </c>
      <c r="D17" t="s">
        <v>216</v>
      </c>
      <c r="F17" t="s">
        <v>75</v>
      </c>
      <c r="J17" t="s">
        <v>92</v>
      </c>
    </row>
    <row r="18" spans="2:10">
      <c r="B18" t="s">
        <v>112</v>
      </c>
      <c r="C18" t="s">
        <v>135</v>
      </c>
      <c r="D18" t="s">
        <v>216</v>
      </c>
      <c r="F18" t="s">
        <v>76</v>
      </c>
      <c r="J18" t="s">
        <v>92</v>
      </c>
    </row>
    <row r="19" spans="2:10">
      <c r="B19" t="s">
        <v>112</v>
      </c>
      <c r="C19" t="s">
        <v>136</v>
      </c>
      <c r="D19" t="s">
        <v>216</v>
      </c>
      <c r="F19" t="s">
        <v>77</v>
      </c>
      <c r="J19" t="s">
        <v>92</v>
      </c>
    </row>
    <row r="20" spans="2:10">
      <c r="B20" t="s">
        <v>112</v>
      </c>
      <c r="C20" t="s">
        <v>138</v>
      </c>
      <c r="D20" t="s">
        <v>216</v>
      </c>
      <c r="F20" t="s">
        <v>78</v>
      </c>
      <c r="J20" t="s">
        <v>97</v>
      </c>
    </row>
    <row r="21" spans="2:10">
      <c r="B21" t="s">
        <v>112</v>
      </c>
      <c r="C21" t="s">
        <v>139</v>
      </c>
      <c r="D21" t="s">
        <v>216</v>
      </c>
      <c r="F21" t="s">
        <v>79</v>
      </c>
      <c r="J21" t="s">
        <v>97</v>
      </c>
    </row>
    <row r="22" spans="2:10">
      <c r="B22" t="s">
        <v>112</v>
      </c>
      <c r="C22" t="s">
        <v>140</v>
      </c>
      <c r="D22" t="s">
        <v>216</v>
      </c>
      <c r="F22" t="s">
        <v>80</v>
      </c>
      <c r="J22" t="s">
        <v>97</v>
      </c>
    </row>
    <row r="23" spans="2:10">
      <c r="B23" t="s">
        <v>112</v>
      </c>
      <c r="C23" t="s">
        <v>141</v>
      </c>
      <c r="D23" t="s">
        <v>216</v>
      </c>
      <c r="F23" t="s">
        <v>81</v>
      </c>
      <c r="J23" t="s">
        <v>97</v>
      </c>
    </row>
    <row r="24" spans="2:10">
      <c r="B24" t="s">
        <v>112</v>
      </c>
      <c r="C24" t="s">
        <v>142</v>
      </c>
      <c r="D24" t="s">
        <v>216</v>
      </c>
      <c r="F24" t="s">
        <v>82</v>
      </c>
      <c r="J24" t="s">
        <v>226</v>
      </c>
    </row>
    <row r="25" spans="2:10">
      <c r="B25" t="s">
        <v>112</v>
      </c>
      <c r="C25" t="s">
        <v>143</v>
      </c>
      <c r="D25" t="s">
        <v>216</v>
      </c>
      <c r="F25" t="s">
        <v>83</v>
      </c>
      <c r="J25" t="s">
        <v>226</v>
      </c>
    </row>
    <row r="26" spans="2:10">
      <c r="B26" t="s">
        <v>112</v>
      </c>
      <c r="C26" t="s">
        <v>144</v>
      </c>
      <c r="D26" t="s">
        <v>216</v>
      </c>
      <c r="F26" t="s">
        <v>84</v>
      </c>
      <c r="J26" t="s">
        <v>226</v>
      </c>
    </row>
    <row r="27" spans="2:10">
      <c r="B27" t="s">
        <v>112</v>
      </c>
      <c r="C27" t="s">
        <v>145</v>
      </c>
      <c r="D27" t="s">
        <v>216</v>
      </c>
      <c r="F27" t="s">
        <v>85</v>
      </c>
      <c r="J27" t="s">
        <v>226</v>
      </c>
    </row>
    <row r="28" spans="2:10">
      <c r="B28" t="s">
        <v>112</v>
      </c>
      <c r="C28" t="s">
        <v>148</v>
      </c>
      <c r="D28" t="s">
        <v>216</v>
      </c>
      <c r="F28" t="s">
        <v>86</v>
      </c>
      <c r="J28" t="s">
        <v>227</v>
      </c>
    </row>
    <row r="29" spans="2:10">
      <c r="B29" t="s">
        <v>112</v>
      </c>
      <c r="C29" t="s">
        <v>149</v>
      </c>
      <c r="D29" t="s">
        <v>216</v>
      </c>
      <c r="F29" t="s">
        <v>87</v>
      </c>
      <c r="J29" t="s">
        <v>227</v>
      </c>
    </row>
    <row r="30" spans="2:10">
      <c r="B30" t="s">
        <v>112</v>
      </c>
      <c r="C30" t="s">
        <v>150</v>
      </c>
      <c r="D30" t="s">
        <v>216</v>
      </c>
      <c r="F30" t="s">
        <v>88</v>
      </c>
      <c r="J30" t="s">
        <v>92</v>
      </c>
    </row>
    <row r="31" spans="2:10">
      <c r="B31" t="s">
        <v>112</v>
      </c>
      <c r="C31" t="s">
        <v>29</v>
      </c>
      <c r="D31" t="s">
        <v>216</v>
      </c>
      <c r="F31" t="s">
        <v>89</v>
      </c>
      <c r="J31" t="s">
        <v>92</v>
      </c>
    </row>
    <row r="32" spans="2:10">
      <c r="B32" t="s">
        <v>112</v>
      </c>
      <c r="C32" t="s">
        <v>151</v>
      </c>
      <c r="D32" t="s">
        <v>216</v>
      </c>
      <c r="F32" t="s">
        <v>90</v>
      </c>
      <c r="J32" t="s">
        <v>102</v>
      </c>
    </row>
    <row r="33" spans="2:15">
      <c r="B33" t="s">
        <v>112</v>
      </c>
      <c r="C33" t="s">
        <v>126</v>
      </c>
      <c r="D33" t="s">
        <v>127</v>
      </c>
      <c r="F33" t="s">
        <v>155</v>
      </c>
      <c r="K33" t="s">
        <v>99</v>
      </c>
    </row>
    <row r="34" spans="2:15">
      <c r="B34" t="s">
        <v>112</v>
      </c>
      <c r="C34" t="s">
        <v>128</v>
      </c>
      <c r="D34" t="s">
        <v>129</v>
      </c>
      <c r="E34" t="s">
        <v>166</v>
      </c>
      <c r="F34" t="s">
        <v>156</v>
      </c>
      <c r="K34" t="s">
        <v>99</v>
      </c>
    </row>
    <row r="35" spans="2:15">
      <c r="B35" t="s">
        <v>112</v>
      </c>
      <c r="C35" t="s">
        <v>124</v>
      </c>
      <c r="D35" t="s">
        <v>125</v>
      </c>
      <c r="F35" t="s">
        <v>157</v>
      </c>
      <c r="K35" t="s">
        <v>99</v>
      </c>
    </row>
    <row r="36" spans="2:15">
      <c r="B36" t="s">
        <v>112</v>
      </c>
      <c r="C36" t="s">
        <v>104</v>
      </c>
      <c r="D36" t="s">
        <v>105</v>
      </c>
      <c r="J36" t="s">
        <v>247</v>
      </c>
    </row>
    <row r="37" spans="2:15">
      <c r="B37" t="s">
        <v>112</v>
      </c>
      <c r="C37" t="s">
        <v>153</v>
      </c>
      <c r="D37" t="s">
        <v>154</v>
      </c>
      <c r="F37" t="s">
        <v>160</v>
      </c>
      <c r="K37" t="s">
        <v>230</v>
      </c>
    </row>
    <row r="38" spans="2:15">
      <c r="B38" t="s">
        <v>112</v>
      </c>
      <c r="C38" t="s">
        <v>158</v>
      </c>
      <c r="D38" t="s">
        <v>114</v>
      </c>
      <c r="F38" t="s">
        <v>159</v>
      </c>
      <c r="K38" t="s">
        <v>248</v>
      </c>
      <c r="N38" s="1"/>
      <c r="O38" s="1"/>
    </row>
    <row r="39" spans="2:15">
      <c r="B39" t="s">
        <v>112</v>
      </c>
      <c r="C39" t="s">
        <v>161</v>
      </c>
      <c r="D39" t="s">
        <v>162</v>
      </c>
      <c r="F39" t="s">
        <v>163</v>
      </c>
      <c r="K39" t="s">
        <v>230</v>
      </c>
      <c r="N39" s="1"/>
      <c r="O39" s="1"/>
    </row>
    <row r="40" spans="2:15">
      <c r="B40" t="s">
        <v>112</v>
      </c>
      <c r="C40" t="s">
        <v>164</v>
      </c>
      <c r="D40" t="s">
        <v>165</v>
      </c>
      <c r="K40" t="s">
        <v>100</v>
      </c>
    </row>
    <row r="41" spans="2:15">
      <c r="B41" t="s">
        <v>112</v>
      </c>
      <c r="C41" t="s">
        <v>166</v>
      </c>
      <c r="D41" t="s">
        <v>129</v>
      </c>
      <c r="E41" t="s">
        <v>166</v>
      </c>
      <c r="K41" t="s">
        <v>249</v>
      </c>
    </row>
    <row r="42" spans="2:15">
      <c r="B42" t="s">
        <v>112</v>
      </c>
      <c r="C42" t="s">
        <v>167</v>
      </c>
      <c r="D42" t="s">
        <v>167</v>
      </c>
      <c r="E42" t="s">
        <v>168</v>
      </c>
      <c r="K42" t="s">
        <v>99</v>
      </c>
    </row>
    <row r="43" spans="2:15">
      <c r="B43" t="s">
        <v>112</v>
      </c>
      <c r="C43" t="s">
        <v>28</v>
      </c>
      <c r="D43" t="s">
        <v>167</v>
      </c>
      <c r="E43" t="s">
        <v>168</v>
      </c>
      <c r="K43" t="s">
        <v>225</v>
      </c>
    </row>
    <row r="44" spans="2:15">
      <c r="B44" t="s">
        <v>112</v>
      </c>
      <c r="C44" t="s">
        <v>30</v>
      </c>
      <c r="D44" t="s">
        <v>167</v>
      </c>
      <c r="E44" t="s">
        <v>168</v>
      </c>
      <c r="K44" t="s">
        <v>235</v>
      </c>
    </row>
    <row r="45" spans="2:15">
      <c r="B45" t="s">
        <v>112</v>
      </c>
      <c r="C45" t="s">
        <v>169</v>
      </c>
      <c r="D45" t="s">
        <v>170</v>
      </c>
      <c r="K45" t="s">
        <v>249</v>
      </c>
    </row>
    <row r="46" spans="2:15">
      <c r="B46" t="s">
        <v>112</v>
      </c>
      <c r="C46" t="s">
        <v>171</v>
      </c>
      <c r="D46" t="s">
        <v>170</v>
      </c>
      <c r="E46" t="s">
        <v>127</v>
      </c>
      <c r="K46" t="s">
        <v>249</v>
      </c>
    </row>
    <row r="47" spans="2:15">
      <c r="B47" t="s">
        <v>112</v>
      </c>
      <c r="C47" t="s">
        <v>16</v>
      </c>
      <c r="D47" t="s">
        <v>16</v>
      </c>
      <c r="E47" t="s">
        <v>19</v>
      </c>
      <c r="K47" t="s">
        <v>103</v>
      </c>
    </row>
    <row r="48" spans="2:15">
      <c r="B48" t="s">
        <v>112</v>
      </c>
      <c r="C48" t="s">
        <v>17</v>
      </c>
      <c r="D48" t="s">
        <v>18</v>
      </c>
      <c r="G48" t="s">
        <v>1</v>
      </c>
    </row>
    <row r="49" spans="2:11">
      <c r="B49" t="s">
        <v>112</v>
      </c>
      <c r="C49" t="s">
        <v>172</v>
      </c>
      <c r="D49" t="s">
        <v>172</v>
      </c>
      <c r="J49" t="s">
        <v>247</v>
      </c>
    </row>
    <row r="50" spans="2:11">
      <c r="B50" t="s">
        <v>112</v>
      </c>
      <c r="C50" t="s">
        <v>106</v>
      </c>
      <c r="D50" t="s">
        <v>105</v>
      </c>
      <c r="J50" t="s">
        <v>250</v>
      </c>
    </row>
    <row r="51" spans="2:11">
      <c r="B51" t="s">
        <v>112</v>
      </c>
      <c r="C51" t="s">
        <v>173</v>
      </c>
      <c r="D51" t="s">
        <v>125</v>
      </c>
      <c r="K51" t="s">
        <v>251</v>
      </c>
    </row>
    <row r="52" spans="2:11">
      <c r="B52" t="s">
        <v>112</v>
      </c>
      <c r="C52" t="s">
        <v>174</v>
      </c>
      <c r="D52" t="s">
        <v>168</v>
      </c>
      <c r="K52" t="s">
        <v>251</v>
      </c>
    </row>
    <row r="53" spans="2:11">
      <c r="B53" t="s">
        <v>112</v>
      </c>
      <c r="C53" t="s">
        <v>175</v>
      </c>
      <c r="D53" t="s">
        <v>168</v>
      </c>
      <c r="K53" t="s">
        <v>251</v>
      </c>
    </row>
    <row r="54" spans="2:11">
      <c r="B54" t="s">
        <v>112</v>
      </c>
      <c r="C54" t="s">
        <v>175</v>
      </c>
      <c r="D54" t="s">
        <v>168</v>
      </c>
      <c r="K54" t="s">
        <v>231</v>
      </c>
    </row>
    <row r="55" spans="2:11">
      <c r="B55" t="s">
        <v>112</v>
      </c>
      <c r="C55" t="s">
        <v>176</v>
      </c>
      <c r="D55" t="s">
        <v>114</v>
      </c>
      <c r="K55" t="s">
        <v>252</v>
      </c>
    </row>
    <row r="56" spans="2:11">
      <c r="B56" t="s">
        <v>112</v>
      </c>
      <c r="C56" t="s">
        <v>176</v>
      </c>
      <c r="D56" t="s">
        <v>114</v>
      </c>
      <c r="K56" t="s">
        <v>96</v>
      </c>
    </row>
    <row r="57" spans="2:11">
      <c r="B57" t="s">
        <v>112</v>
      </c>
      <c r="C57" t="s">
        <v>177</v>
      </c>
      <c r="D57" t="s">
        <v>178</v>
      </c>
      <c r="K57" t="s">
        <v>98</v>
      </c>
    </row>
    <row r="58" spans="2:11">
      <c r="B58" t="s">
        <v>112</v>
      </c>
      <c r="C58" t="s">
        <v>179</v>
      </c>
      <c r="D58" t="s">
        <v>180</v>
      </c>
      <c r="K58" t="s">
        <v>98</v>
      </c>
    </row>
    <row r="59" spans="2:11">
      <c r="B59" t="s">
        <v>112</v>
      </c>
      <c r="C59" t="s">
        <v>176</v>
      </c>
      <c r="D59" t="s">
        <v>114</v>
      </c>
      <c r="K59" t="s">
        <v>98</v>
      </c>
    </row>
    <row r="60" spans="2:11">
      <c r="B60" t="s">
        <v>112</v>
      </c>
      <c r="C60" t="s">
        <v>181</v>
      </c>
      <c r="D60" t="s">
        <v>114</v>
      </c>
      <c r="K60" t="s">
        <v>228</v>
      </c>
    </row>
    <row r="61" spans="2:11">
      <c r="B61" t="s">
        <v>112</v>
      </c>
      <c r="C61" t="s">
        <v>182</v>
      </c>
      <c r="D61" t="s">
        <v>182</v>
      </c>
      <c r="K61" t="s">
        <v>251</v>
      </c>
    </row>
    <row r="62" spans="2:11">
      <c r="B62" t="s">
        <v>112</v>
      </c>
      <c r="C62" t="s">
        <v>183</v>
      </c>
      <c r="D62" t="s">
        <v>168</v>
      </c>
      <c r="K62" t="s">
        <v>231</v>
      </c>
    </row>
    <row r="63" spans="2:11">
      <c r="B63" t="s">
        <v>112</v>
      </c>
      <c r="C63" t="s">
        <v>184</v>
      </c>
      <c r="D63" t="s">
        <v>185</v>
      </c>
      <c r="K63" t="s">
        <v>253</v>
      </c>
    </row>
    <row r="64" spans="2:11">
      <c r="B64" t="s">
        <v>112</v>
      </c>
      <c r="C64" t="s">
        <v>166</v>
      </c>
      <c r="D64" t="s">
        <v>129</v>
      </c>
      <c r="E64" t="s">
        <v>166</v>
      </c>
      <c r="K64" t="s">
        <v>253</v>
      </c>
    </row>
    <row r="65" spans="2:21">
      <c r="B65" t="s">
        <v>112</v>
      </c>
      <c r="C65" t="s">
        <v>186</v>
      </c>
      <c r="D65" t="s">
        <v>186</v>
      </c>
      <c r="K65" t="s">
        <v>99</v>
      </c>
    </row>
    <row r="66" spans="2:21">
      <c r="B66" t="s">
        <v>112</v>
      </c>
      <c r="C66" t="s">
        <v>186</v>
      </c>
      <c r="D66" t="s">
        <v>186</v>
      </c>
      <c r="K66" t="s">
        <v>100</v>
      </c>
    </row>
    <row r="67" spans="2:21">
      <c r="B67" t="s">
        <v>112</v>
      </c>
      <c r="C67" t="s">
        <v>186</v>
      </c>
      <c r="D67" t="s">
        <v>186</v>
      </c>
      <c r="K67" t="s">
        <v>230</v>
      </c>
    </row>
    <row r="68" spans="2:21">
      <c r="B68" t="s">
        <v>112</v>
      </c>
      <c r="C68" t="s">
        <v>186</v>
      </c>
      <c r="D68" t="s">
        <v>186</v>
      </c>
      <c r="K68" t="s">
        <v>98</v>
      </c>
    </row>
    <row r="69" spans="2:21">
      <c r="B69" t="s">
        <v>112</v>
      </c>
      <c r="C69" t="s">
        <v>186</v>
      </c>
      <c r="D69" t="s">
        <v>186</v>
      </c>
      <c r="K69" t="s">
        <v>254</v>
      </c>
    </row>
    <row r="70" spans="2:21">
      <c r="B70" t="s">
        <v>112</v>
      </c>
      <c r="C70" t="s">
        <v>187</v>
      </c>
      <c r="D70" t="s">
        <v>188</v>
      </c>
      <c r="F70" t="s">
        <v>189</v>
      </c>
      <c r="K70" t="s">
        <v>254</v>
      </c>
    </row>
    <row r="71" spans="2:21">
      <c r="B71" t="s">
        <v>112</v>
      </c>
      <c r="C71" t="s">
        <v>190</v>
      </c>
      <c r="D71" t="s">
        <v>191</v>
      </c>
      <c r="K71" t="s">
        <v>100</v>
      </c>
    </row>
    <row r="72" spans="2:21">
      <c r="B72" t="s">
        <v>115</v>
      </c>
      <c r="C72" t="s">
        <v>199</v>
      </c>
      <c r="D72" t="s">
        <v>199</v>
      </c>
      <c r="H72" t="s">
        <v>250</v>
      </c>
    </row>
    <row r="73" spans="2:21">
      <c r="B73" t="s">
        <v>115</v>
      </c>
      <c r="C73" t="s">
        <v>116</v>
      </c>
      <c r="D73" t="s">
        <v>192</v>
      </c>
      <c r="J73" t="s">
        <v>232</v>
      </c>
      <c r="N73" t="s">
        <v>198</v>
      </c>
      <c r="P73" t="s">
        <v>197</v>
      </c>
      <c r="Q73" t="s">
        <v>206</v>
      </c>
      <c r="S73" t="s">
        <v>49</v>
      </c>
      <c r="T73" t="s">
        <v>50</v>
      </c>
      <c r="U73" t="s">
        <v>49</v>
      </c>
    </row>
    <row r="74" spans="2:21">
      <c r="B74" t="s">
        <v>115</v>
      </c>
      <c r="C74" t="s">
        <v>195</v>
      </c>
      <c r="D74" t="s">
        <v>195</v>
      </c>
      <c r="G74" t="s">
        <v>233</v>
      </c>
    </row>
    <row r="75" spans="2:21">
      <c r="B75" t="s">
        <v>115</v>
      </c>
      <c r="C75" t="s">
        <v>196</v>
      </c>
      <c r="D75" t="s">
        <v>196</v>
      </c>
      <c r="G75" t="s">
        <v>233</v>
      </c>
    </row>
    <row r="76" spans="2:21">
      <c r="B76" t="s">
        <v>115</v>
      </c>
      <c r="C76" t="s">
        <v>107</v>
      </c>
      <c r="D76" t="s">
        <v>107</v>
      </c>
      <c r="J76" t="s">
        <v>232</v>
      </c>
    </row>
    <row r="77" spans="2:21">
      <c r="B77" t="s">
        <v>115</v>
      </c>
      <c r="C77" t="s">
        <v>108</v>
      </c>
      <c r="D77" t="s">
        <v>108</v>
      </c>
      <c r="J77" t="s">
        <v>255</v>
      </c>
    </row>
    <row r="78" spans="2:21">
      <c r="B78" t="s">
        <v>115</v>
      </c>
      <c r="C78" t="s">
        <v>0</v>
      </c>
      <c r="D78" t="s">
        <v>0</v>
      </c>
      <c r="G78" t="s">
        <v>256</v>
      </c>
    </row>
    <row r="79" spans="2:21">
      <c r="B79" t="s">
        <v>115</v>
      </c>
      <c r="C79" t="s">
        <v>200</v>
      </c>
      <c r="D79" t="s">
        <v>201</v>
      </c>
      <c r="J79" t="s">
        <v>257</v>
      </c>
      <c r="N79" t="s">
        <v>202</v>
      </c>
      <c r="Q79" t="s">
        <v>207</v>
      </c>
    </row>
    <row r="80" spans="2:21">
      <c r="B80" t="s">
        <v>115</v>
      </c>
      <c r="C80" t="s">
        <v>203</v>
      </c>
      <c r="D80" t="s">
        <v>203</v>
      </c>
      <c r="G80" t="s">
        <v>258</v>
      </c>
      <c r="Q80" t="s">
        <v>205</v>
      </c>
      <c r="R80" t="s">
        <v>210</v>
      </c>
    </row>
    <row r="81" spans="2:17">
      <c r="B81" t="s">
        <v>115</v>
      </c>
      <c r="C81" t="s">
        <v>116</v>
      </c>
      <c r="D81" t="s">
        <v>192</v>
      </c>
      <c r="J81" t="s">
        <v>258</v>
      </c>
      <c r="Q81" t="s">
        <v>208</v>
      </c>
    </row>
    <row r="82" spans="2:17">
      <c r="B82" t="s">
        <v>115</v>
      </c>
      <c r="C82" t="s">
        <v>212</v>
      </c>
      <c r="D82" t="s">
        <v>211</v>
      </c>
      <c r="J82" t="s">
        <v>257</v>
      </c>
      <c r="P82" t="s">
        <v>213</v>
      </c>
    </row>
    <row r="83" spans="2:17">
      <c r="B83" t="s">
        <v>115</v>
      </c>
      <c r="C83" t="s">
        <v>214</v>
      </c>
      <c r="D83" t="s">
        <v>214</v>
      </c>
      <c r="K83" t="s">
        <v>259</v>
      </c>
    </row>
    <row r="84" spans="2:17">
      <c r="B84" t="s">
        <v>115</v>
      </c>
      <c r="C84" t="s">
        <v>214</v>
      </c>
      <c r="D84" t="s">
        <v>214</v>
      </c>
      <c r="K84" t="s">
        <v>260</v>
      </c>
    </row>
    <row r="85" spans="2:17">
      <c r="B85" t="s">
        <v>115</v>
      </c>
      <c r="C85" t="s">
        <v>215</v>
      </c>
      <c r="D85" t="s">
        <v>215</v>
      </c>
      <c r="K85" t="s">
        <v>259</v>
      </c>
    </row>
    <row r="86" spans="2:17">
      <c r="B86" t="s">
        <v>115</v>
      </c>
      <c r="C86" t="s">
        <v>2</v>
      </c>
      <c r="D86" t="s">
        <v>2</v>
      </c>
      <c r="E86" t="s">
        <v>10</v>
      </c>
      <c r="K86" t="s">
        <v>261</v>
      </c>
    </row>
    <row r="87" spans="2:17">
      <c r="B87" t="s">
        <v>115</v>
      </c>
      <c r="C87" t="s">
        <v>3</v>
      </c>
      <c r="D87" t="s">
        <v>3</v>
      </c>
      <c r="E87" t="s">
        <v>10</v>
      </c>
      <c r="K87" t="s">
        <v>250</v>
      </c>
    </row>
    <row r="88" spans="2:17">
      <c r="B88" t="s">
        <v>115</v>
      </c>
      <c r="C88" t="s">
        <v>4</v>
      </c>
      <c r="D88" t="s">
        <v>4</v>
      </c>
      <c r="J88" t="s">
        <v>232</v>
      </c>
    </row>
    <row r="89" spans="2:17">
      <c r="B89" t="s">
        <v>115</v>
      </c>
      <c r="C89" t="s">
        <v>5</v>
      </c>
      <c r="D89" t="s">
        <v>5</v>
      </c>
      <c r="J89" t="s">
        <v>262</v>
      </c>
    </row>
    <row r="90" spans="2:17">
      <c r="B90" t="s">
        <v>115</v>
      </c>
      <c r="C90" t="s">
        <v>11</v>
      </c>
      <c r="D90" t="s">
        <v>6</v>
      </c>
      <c r="E90" t="s">
        <v>12</v>
      </c>
      <c r="J90" t="s">
        <v>263</v>
      </c>
    </row>
    <row r="91" spans="2:17">
      <c r="B91" t="s">
        <v>115</v>
      </c>
      <c r="C91" t="s">
        <v>7</v>
      </c>
      <c r="D91" t="s">
        <v>25</v>
      </c>
      <c r="E91" t="s">
        <v>9</v>
      </c>
      <c r="J91" t="s">
        <v>263</v>
      </c>
    </row>
    <row r="92" spans="2:17">
      <c r="B92" t="s">
        <v>115</v>
      </c>
      <c r="C92" t="s">
        <v>8</v>
      </c>
      <c r="D92" t="s">
        <v>26</v>
      </c>
      <c r="E92" t="s">
        <v>9</v>
      </c>
      <c r="J92" t="s">
        <v>263</v>
      </c>
    </row>
    <row r="93" spans="2:17">
      <c r="B93" t="s">
        <v>115</v>
      </c>
      <c r="C93" t="s">
        <v>13</v>
      </c>
      <c r="D93" t="s">
        <v>192</v>
      </c>
      <c r="E93" t="s">
        <v>9</v>
      </c>
      <c r="J93" t="s">
        <v>263</v>
      </c>
      <c r="N93" t="s">
        <v>14</v>
      </c>
    </row>
    <row r="94" spans="2:17">
      <c r="B94" t="s">
        <v>115</v>
      </c>
      <c r="C94" t="s">
        <v>13</v>
      </c>
      <c r="D94" t="s">
        <v>192</v>
      </c>
      <c r="E94" t="s">
        <v>9</v>
      </c>
      <c r="J94" t="s">
        <v>264</v>
      </c>
      <c r="N94" t="s">
        <v>14</v>
      </c>
      <c r="O94" t="s">
        <v>15</v>
      </c>
    </row>
    <row r="95" spans="2:17">
      <c r="B95" t="s">
        <v>115</v>
      </c>
      <c r="C95" t="s">
        <v>13</v>
      </c>
      <c r="D95" t="s">
        <v>192</v>
      </c>
      <c r="E95" t="s">
        <v>9</v>
      </c>
      <c r="J95" t="s">
        <v>265</v>
      </c>
      <c r="N95" t="s">
        <v>14</v>
      </c>
      <c r="O95" t="s">
        <v>15</v>
      </c>
    </row>
    <row r="96" spans="2:17">
      <c r="B96" t="s">
        <v>115</v>
      </c>
      <c r="C96" t="s">
        <v>20</v>
      </c>
      <c r="D96" t="s">
        <v>20</v>
      </c>
      <c r="E96" t="s">
        <v>22</v>
      </c>
      <c r="K96" t="s">
        <v>259</v>
      </c>
    </row>
    <row r="97" spans="2:23">
      <c r="B97" t="s">
        <v>115</v>
      </c>
      <c r="C97" t="s">
        <v>24</v>
      </c>
      <c r="D97" t="s">
        <v>27</v>
      </c>
      <c r="E97" t="s">
        <v>9</v>
      </c>
      <c r="J97" t="s">
        <v>266</v>
      </c>
    </row>
    <row r="98" spans="2:23">
      <c r="B98" t="s">
        <v>115</v>
      </c>
      <c r="C98" t="s">
        <v>24</v>
      </c>
      <c r="D98" t="s">
        <v>27</v>
      </c>
      <c r="E98" t="s">
        <v>9</v>
      </c>
      <c r="J98" t="s">
        <v>234</v>
      </c>
    </row>
    <row r="99" spans="2:23">
      <c r="B99" t="s">
        <v>115</v>
      </c>
      <c r="C99" t="s">
        <v>24</v>
      </c>
      <c r="D99" t="s">
        <v>27</v>
      </c>
      <c r="E99" t="s">
        <v>9</v>
      </c>
      <c r="J99" t="s">
        <v>229</v>
      </c>
    </row>
    <row r="100" spans="2:23">
      <c r="B100" t="s">
        <v>112</v>
      </c>
      <c r="C100" t="s">
        <v>36</v>
      </c>
      <c r="D100" t="s">
        <v>18</v>
      </c>
      <c r="J100" t="s">
        <v>236</v>
      </c>
    </row>
    <row r="101" spans="2:23">
      <c r="B101" t="s">
        <v>112</v>
      </c>
      <c r="C101" t="s">
        <v>35</v>
      </c>
      <c r="D101" t="s">
        <v>34</v>
      </c>
      <c r="K101" t="s">
        <v>267</v>
      </c>
    </row>
    <row r="102" spans="2:23">
      <c r="B102" t="s">
        <v>115</v>
      </c>
      <c r="C102" t="s">
        <v>32</v>
      </c>
      <c r="J102" t="s">
        <v>237</v>
      </c>
    </row>
    <row r="103" spans="2:23">
      <c r="B103" t="s">
        <v>115</v>
      </c>
      <c r="C103" t="s">
        <v>33</v>
      </c>
      <c r="D103" t="s">
        <v>2</v>
      </c>
      <c r="E103" t="s">
        <v>10</v>
      </c>
      <c r="J103" t="s">
        <v>237</v>
      </c>
    </row>
    <row r="104" spans="2:23">
      <c r="B104" t="s">
        <v>115</v>
      </c>
      <c r="C104" t="s">
        <v>37</v>
      </c>
      <c r="D104" t="s">
        <v>38</v>
      </c>
      <c r="E104" t="s">
        <v>10</v>
      </c>
      <c r="H104" t="s">
        <v>237</v>
      </c>
    </row>
    <row r="105" spans="2:23">
      <c r="B105" t="s">
        <v>115</v>
      </c>
      <c r="C105" t="s">
        <v>39</v>
      </c>
      <c r="D105" t="s">
        <v>10</v>
      </c>
      <c r="J105" t="s">
        <v>237</v>
      </c>
      <c r="L105" t="s">
        <v>268</v>
      </c>
    </row>
    <row r="106" spans="2:23">
      <c r="B106" t="s">
        <v>112</v>
      </c>
      <c r="C106" t="s">
        <v>40</v>
      </c>
      <c r="D106" t="s">
        <v>41</v>
      </c>
      <c r="J106" t="s">
        <v>237</v>
      </c>
      <c r="L106" t="s">
        <v>269</v>
      </c>
    </row>
    <row r="107" spans="2:23">
      <c r="B107" t="s">
        <v>112</v>
      </c>
      <c r="C107" t="s">
        <v>42</v>
      </c>
      <c r="D107" t="s">
        <v>41</v>
      </c>
      <c r="J107" t="s">
        <v>237</v>
      </c>
    </row>
    <row r="108" spans="2:23">
      <c r="B108" t="s">
        <v>115</v>
      </c>
      <c r="C108" t="s">
        <v>43</v>
      </c>
      <c r="D108" t="s">
        <v>10</v>
      </c>
      <c r="K108" t="s">
        <v>270</v>
      </c>
    </row>
    <row r="109" spans="2:23">
      <c r="B109" t="s">
        <v>115</v>
      </c>
      <c r="C109" t="s">
        <v>192</v>
      </c>
      <c r="D109" t="s">
        <v>192</v>
      </c>
      <c r="J109" t="s">
        <v>271</v>
      </c>
      <c r="N109" t="s">
        <v>14</v>
      </c>
      <c r="V109" t="s">
        <v>68</v>
      </c>
      <c r="W109" t="s">
        <v>69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published="0" codeName="Sheet1" enableFormatConditionsCalculation="0"/>
  <dimension ref="A1:W109"/>
  <sheetViews>
    <sheetView workbookViewId="0">
      <pane xSplit="3" ySplit="1" topLeftCell="G41" activePane="bottomRight" state="frozen"/>
      <selection pane="topRight" activeCell="C1" sqref="C1"/>
      <selection pane="bottomLeft" activeCell="A2" sqref="A2"/>
      <selection pane="bottomRight" activeCell="I48" sqref="A1:XFD1048576"/>
    </sheetView>
  </sheetViews>
  <sheetFormatPr defaultColWidth="12.33203125" defaultRowHeight="14.4" outlineLevelCol="2"/>
  <cols>
    <col min="2" max="2" width="14.44140625" customWidth="1"/>
    <col min="3" max="3" width="15.5546875" customWidth="1"/>
    <col min="4" max="4" width="18.6640625" bestFit="1" customWidth="1"/>
    <col min="5" max="5" width="18.6640625" customWidth="1"/>
    <col min="6" max="6" width="18.109375" customWidth="1" outlineLevel="2"/>
    <col min="7" max="7" width="15.6640625" bestFit="1" customWidth="1"/>
  </cols>
  <sheetData>
    <row r="1" spans="1:23">
      <c r="A1" t="s">
        <v>218</v>
      </c>
      <c r="B1" t="s">
        <v>217</v>
      </c>
      <c r="C1" t="s">
        <v>109</v>
      </c>
      <c r="D1" t="s">
        <v>117</v>
      </c>
      <c r="E1" t="s">
        <v>117</v>
      </c>
      <c r="F1" t="s">
        <v>119</v>
      </c>
      <c r="G1" t="s">
        <v>120</v>
      </c>
      <c r="H1" t="s">
        <v>121</v>
      </c>
      <c r="I1" t="s">
        <v>23</v>
      </c>
      <c r="J1" t="s">
        <v>122</v>
      </c>
      <c r="K1" t="s">
        <v>21</v>
      </c>
      <c r="L1" t="s">
        <v>238</v>
      </c>
      <c r="M1" t="s">
        <v>31</v>
      </c>
      <c r="N1" t="s">
        <v>193</v>
      </c>
      <c r="O1" t="s">
        <v>193</v>
      </c>
      <c r="P1" t="s">
        <v>194</v>
      </c>
      <c r="Q1" t="s">
        <v>204</v>
      </c>
      <c r="R1" t="s">
        <v>209</v>
      </c>
      <c r="S1" t="s">
        <v>46</v>
      </c>
      <c r="T1" t="s">
        <v>44</v>
      </c>
      <c r="U1" t="s">
        <v>45</v>
      </c>
      <c r="V1" t="s">
        <v>47</v>
      </c>
      <c r="W1" t="s">
        <v>48</v>
      </c>
    </row>
    <row r="2" spans="1:23">
      <c r="A2">
        <v>1</v>
      </c>
      <c r="B2" t="s">
        <v>112</v>
      </c>
      <c r="C2" t="s">
        <v>241</v>
      </c>
      <c r="D2" t="s">
        <v>242</v>
      </c>
    </row>
    <row r="3" spans="1:23">
      <c r="A3">
        <f>+A2+1</f>
        <v>2</v>
      </c>
      <c r="B3" t="s">
        <v>112</v>
      </c>
      <c r="C3" t="s">
        <v>244</v>
      </c>
      <c r="D3" t="s">
        <v>245</v>
      </c>
      <c r="F3" t="s">
        <v>244</v>
      </c>
      <c r="J3" t="str">
        <f>"ROW" &amp;+$A$2</f>
        <v>ROW1</v>
      </c>
    </row>
    <row r="4" spans="1:23">
      <c r="A4">
        <f>+A3+1</f>
        <v>3</v>
      </c>
      <c r="B4" t="s">
        <v>112</v>
      </c>
      <c r="C4" t="s">
        <v>239</v>
      </c>
      <c r="D4" t="s">
        <v>243</v>
      </c>
      <c r="F4" t="s">
        <v>239</v>
      </c>
      <c r="J4" t="str">
        <f>"ROW" &amp;+$A$3</f>
        <v>ROW2</v>
      </c>
    </row>
    <row r="5" spans="1:23">
      <c r="A5">
        <f>+A4+1</f>
        <v>4</v>
      </c>
      <c r="B5" t="s">
        <v>112</v>
      </c>
      <c r="C5" t="s">
        <v>240</v>
      </c>
      <c r="D5" t="s">
        <v>246</v>
      </c>
      <c r="F5" t="s">
        <v>240</v>
      </c>
      <c r="J5" t="str">
        <f>"ROW" &amp;+$A$4</f>
        <v>ROW3</v>
      </c>
    </row>
    <row r="6" spans="1:23">
      <c r="A6">
        <f>+A5+1</f>
        <v>5</v>
      </c>
      <c r="B6" t="s">
        <v>112</v>
      </c>
      <c r="C6" t="s">
        <v>110</v>
      </c>
      <c r="D6" t="s">
        <v>111</v>
      </c>
      <c r="F6" t="s">
        <v>118</v>
      </c>
      <c r="J6" t="str">
        <f>"ROW" &amp;+$A$5</f>
        <v>ROW4</v>
      </c>
    </row>
    <row r="7" spans="1:23">
      <c r="A7">
        <f>+A6+1</f>
        <v>6</v>
      </c>
      <c r="B7" t="s">
        <v>112</v>
      </c>
      <c r="C7" t="s">
        <v>219</v>
      </c>
      <c r="D7" t="s">
        <v>113</v>
      </c>
      <c r="F7" t="s">
        <v>220</v>
      </c>
      <c r="J7" t="str">
        <f>"ROW" &amp;+$A$6</f>
        <v>ROW5</v>
      </c>
    </row>
    <row r="8" spans="1:23">
      <c r="A8">
        <f t="shared" ref="A8:A71" si="0">+A7+1</f>
        <v>7</v>
      </c>
      <c r="B8" t="s">
        <v>112</v>
      </c>
      <c r="C8" t="s">
        <v>137</v>
      </c>
      <c r="D8" t="s">
        <v>113</v>
      </c>
      <c r="F8" t="s">
        <v>221</v>
      </c>
      <c r="J8" t="str">
        <f>"ROW" &amp;+$A$6</f>
        <v>ROW5</v>
      </c>
    </row>
    <row r="9" spans="1:23">
      <c r="A9">
        <f t="shared" si="0"/>
        <v>8</v>
      </c>
      <c r="B9" t="s">
        <v>112</v>
      </c>
      <c r="C9" t="s">
        <v>146</v>
      </c>
      <c r="D9" t="s">
        <v>113</v>
      </c>
      <c r="F9" t="s">
        <v>222</v>
      </c>
      <c r="J9" t="str">
        <f>"ROW" &amp;+$A$6</f>
        <v>ROW5</v>
      </c>
    </row>
    <row r="10" spans="1:23">
      <c r="A10">
        <f t="shared" si="0"/>
        <v>9</v>
      </c>
      <c r="B10" t="s">
        <v>112</v>
      </c>
      <c r="C10" t="s">
        <v>147</v>
      </c>
      <c r="D10" t="s">
        <v>113</v>
      </c>
      <c r="F10" t="s">
        <v>223</v>
      </c>
      <c r="J10" t="str">
        <f>"ROW" &amp;+$A$6</f>
        <v>ROW5</v>
      </c>
    </row>
    <row r="11" spans="1:23">
      <c r="A11">
        <f t="shared" si="0"/>
        <v>10</v>
      </c>
      <c r="B11" t="s">
        <v>112</v>
      </c>
      <c r="C11" t="s">
        <v>152</v>
      </c>
      <c r="D11" t="s">
        <v>113</v>
      </c>
      <c r="F11" t="s">
        <v>224</v>
      </c>
      <c r="J11" t="str">
        <f>"ROW" &amp;+$A$6</f>
        <v>ROW5</v>
      </c>
    </row>
    <row r="12" spans="1:23">
      <c r="A12">
        <f t="shared" si="0"/>
        <v>11</v>
      </c>
      <c r="B12" t="s">
        <v>112</v>
      </c>
      <c r="C12" t="s">
        <v>123</v>
      </c>
      <c r="D12" t="s">
        <v>216</v>
      </c>
      <c r="F12" t="str">
        <f t="shared" ref="F12:F32" si="1">+C12 &amp;", sf"</f>
        <v>polk &amp; ofarrell, sf</v>
      </c>
      <c r="J12" t="str">
        <f t="shared" ref="J12:J19" si="2">"ROW" &amp;+$A$7</f>
        <v>ROW6</v>
      </c>
    </row>
    <row r="13" spans="1:23">
      <c r="A13">
        <f t="shared" si="0"/>
        <v>12</v>
      </c>
      <c r="B13" t="s">
        <v>112</v>
      </c>
      <c r="C13" t="s">
        <v>131</v>
      </c>
      <c r="D13" t="s">
        <v>216</v>
      </c>
      <c r="F13" t="str">
        <f t="shared" si="1"/>
        <v>polk &amp; geary, sf</v>
      </c>
      <c r="J13" t="str">
        <f t="shared" si="2"/>
        <v>ROW6</v>
      </c>
    </row>
    <row r="14" spans="1:23">
      <c r="A14">
        <f t="shared" si="0"/>
        <v>13</v>
      </c>
      <c r="B14" t="s">
        <v>112</v>
      </c>
      <c r="C14" t="s">
        <v>132</v>
      </c>
      <c r="D14" t="s">
        <v>216</v>
      </c>
      <c r="F14" t="str">
        <f t="shared" si="1"/>
        <v>polk &amp; post, sf</v>
      </c>
      <c r="J14" t="str">
        <f t="shared" si="2"/>
        <v>ROW6</v>
      </c>
    </row>
    <row r="15" spans="1:23">
      <c r="A15">
        <f t="shared" si="0"/>
        <v>14</v>
      </c>
      <c r="B15" t="s">
        <v>112</v>
      </c>
      <c r="C15" t="s">
        <v>133</v>
      </c>
      <c r="D15" t="s">
        <v>216</v>
      </c>
      <c r="F15" t="str">
        <f t="shared" si="1"/>
        <v>polk &amp; sutter, sf</v>
      </c>
      <c r="J15" t="str">
        <f t="shared" si="2"/>
        <v>ROW6</v>
      </c>
    </row>
    <row r="16" spans="1:23">
      <c r="A16">
        <f t="shared" si="0"/>
        <v>15</v>
      </c>
      <c r="B16" t="s">
        <v>112</v>
      </c>
      <c r="C16" t="s">
        <v>130</v>
      </c>
      <c r="D16" t="s">
        <v>216</v>
      </c>
      <c r="F16" t="str">
        <f t="shared" si="1"/>
        <v>van ness &amp; ofarrell, sf</v>
      </c>
      <c r="J16" t="str">
        <f t="shared" si="2"/>
        <v>ROW6</v>
      </c>
    </row>
    <row r="17" spans="1:10">
      <c r="A17">
        <f t="shared" si="0"/>
        <v>16</v>
      </c>
      <c r="B17" t="s">
        <v>112</v>
      </c>
      <c r="C17" t="s">
        <v>134</v>
      </c>
      <c r="D17" t="s">
        <v>216</v>
      </c>
      <c r="F17" t="str">
        <f t="shared" si="1"/>
        <v>van ness &amp; geary, sf</v>
      </c>
      <c r="J17" t="str">
        <f t="shared" si="2"/>
        <v>ROW6</v>
      </c>
    </row>
    <row r="18" spans="1:10">
      <c r="A18">
        <f t="shared" si="0"/>
        <v>17</v>
      </c>
      <c r="B18" t="s">
        <v>112</v>
      </c>
      <c r="C18" t="s">
        <v>135</v>
      </c>
      <c r="D18" t="s">
        <v>216</v>
      </c>
      <c r="F18" t="str">
        <f t="shared" si="1"/>
        <v>van ness &amp; post, sf</v>
      </c>
      <c r="J18" t="str">
        <f t="shared" si="2"/>
        <v>ROW6</v>
      </c>
    </row>
    <row r="19" spans="1:10">
      <c r="A19">
        <f t="shared" si="0"/>
        <v>18</v>
      </c>
      <c r="B19" t="s">
        <v>112</v>
      </c>
      <c r="C19" t="s">
        <v>136</v>
      </c>
      <c r="D19" t="s">
        <v>216</v>
      </c>
      <c r="F19" t="str">
        <f t="shared" si="1"/>
        <v>van ness &amp; sutter, sf</v>
      </c>
      <c r="J19" t="str">
        <f t="shared" si="2"/>
        <v>ROW6</v>
      </c>
    </row>
    <row r="20" spans="1:10">
      <c r="A20">
        <f t="shared" si="0"/>
        <v>19</v>
      </c>
      <c r="B20" t="s">
        <v>112</v>
      </c>
      <c r="C20" t="s">
        <v>138</v>
      </c>
      <c r="D20" t="s">
        <v>216</v>
      </c>
      <c r="F20" t="str">
        <f t="shared" si="1"/>
        <v>howard &amp; fremont, sf</v>
      </c>
      <c r="J20" t="str">
        <f>"ROW" &amp;+$A$8</f>
        <v>ROW7</v>
      </c>
    </row>
    <row r="21" spans="1:10">
      <c r="A21">
        <f t="shared" si="0"/>
        <v>20</v>
      </c>
      <c r="B21" t="s">
        <v>112</v>
      </c>
      <c r="C21" t="s">
        <v>139</v>
      </c>
      <c r="D21" t="s">
        <v>216</v>
      </c>
      <c r="F21" t="str">
        <f t="shared" si="1"/>
        <v>howard &amp; beale, sf</v>
      </c>
      <c r="J21" t="str">
        <f>"ROW" &amp;+$A$8</f>
        <v>ROW7</v>
      </c>
    </row>
    <row r="22" spans="1:10">
      <c r="A22">
        <f t="shared" si="0"/>
        <v>21</v>
      </c>
      <c r="B22" t="s">
        <v>112</v>
      </c>
      <c r="C22" t="s">
        <v>140</v>
      </c>
      <c r="D22" t="s">
        <v>216</v>
      </c>
      <c r="F22" t="str">
        <f t="shared" si="1"/>
        <v>mission &amp; fremont, sf</v>
      </c>
      <c r="J22" t="str">
        <f>"ROW" &amp;+$A$8</f>
        <v>ROW7</v>
      </c>
    </row>
    <row r="23" spans="1:10">
      <c r="A23">
        <f t="shared" si="0"/>
        <v>22</v>
      </c>
      <c r="B23" t="s">
        <v>112</v>
      </c>
      <c r="C23" t="s">
        <v>141</v>
      </c>
      <c r="D23" t="s">
        <v>216</v>
      </c>
      <c r="F23" t="str">
        <f t="shared" si="1"/>
        <v>mission &amp; beale, sf</v>
      </c>
      <c r="J23" t="str">
        <f>"ROW" &amp;+$A$8</f>
        <v>ROW7</v>
      </c>
    </row>
    <row r="24" spans="1:10">
      <c r="A24">
        <f t="shared" si="0"/>
        <v>23</v>
      </c>
      <c r="B24" t="s">
        <v>112</v>
      </c>
      <c r="C24" t="s">
        <v>142</v>
      </c>
      <c r="D24" t="s">
        <v>216</v>
      </c>
      <c r="F24" t="str">
        <f t="shared" si="1"/>
        <v>4th &amp; townsend, sf</v>
      </c>
      <c r="J24" t="str">
        <f>"ROW" &amp;+$A$9</f>
        <v>ROW8</v>
      </c>
    </row>
    <row r="25" spans="1:10">
      <c r="A25">
        <f t="shared" si="0"/>
        <v>24</v>
      </c>
      <c r="B25" t="s">
        <v>112</v>
      </c>
      <c r="C25" t="s">
        <v>143</v>
      </c>
      <c r="D25" t="s">
        <v>216</v>
      </c>
      <c r="F25" t="str">
        <f t="shared" si="1"/>
        <v>3rd &amp; townsend, sf</v>
      </c>
      <c r="J25" t="str">
        <f>"ROW" &amp;+$A$9</f>
        <v>ROW8</v>
      </c>
    </row>
    <row r="26" spans="1:10">
      <c r="A26">
        <f t="shared" si="0"/>
        <v>25</v>
      </c>
      <c r="B26" t="s">
        <v>112</v>
      </c>
      <c r="C26" t="s">
        <v>144</v>
      </c>
      <c r="D26" t="s">
        <v>216</v>
      </c>
      <c r="F26" t="str">
        <f t="shared" si="1"/>
        <v>4th &amp; king, sf</v>
      </c>
      <c r="J26" t="str">
        <f>"ROW" &amp;+$A$9</f>
        <v>ROW8</v>
      </c>
    </row>
    <row r="27" spans="1:10">
      <c r="A27">
        <f t="shared" si="0"/>
        <v>26</v>
      </c>
      <c r="B27" t="s">
        <v>112</v>
      </c>
      <c r="C27" t="s">
        <v>145</v>
      </c>
      <c r="D27" t="s">
        <v>216</v>
      </c>
      <c r="F27" t="str">
        <f t="shared" si="1"/>
        <v>4th &amp; berry, sf</v>
      </c>
      <c r="J27" t="str">
        <f>"ROW" &amp;+$A$9</f>
        <v>ROW8</v>
      </c>
    </row>
    <row r="28" spans="1:10">
      <c r="A28">
        <f t="shared" si="0"/>
        <v>27</v>
      </c>
      <c r="B28" t="s">
        <v>112</v>
      </c>
      <c r="C28" t="s">
        <v>148</v>
      </c>
      <c r="D28" t="s">
        <v>216</v>
      </c>
      <c r="F28" t="str">
        <f t="shared" si="1"/>
        <v>polk &amp; sacramento, sf</v>
      </c>
      <c r="J28" t="str">
        <f>"ROW" &amp;+$A$10</f>
        <v>ROW9</v>
      </c>
    </row>
    <row r="29" spans="1:10">
      <c r="A29">
        <f t="shared" si="0"/>
        <v>28</v>
      </c>
      <c r="B29" t="s">
        <v>112</v>
      </c>
      <c r="C29" t="s">
        <v>149</v>
      </c>
      <c r="D29" t="s">
        <v>216</v>
      </c>
      <c r="F29" t="str">
        <f t="shared" si="1"/>
        <v>polk &amp; california, sf</v>
      </c>
      <c r="J29" t="str">
        <f>"ROW" &amp;+$A$10</f>
        <v>ROW9</v>
      </c>
    </row>
    <row r="30" spans="1:10">
      <c r="A30">
        <f t="shared" si="0"/>
        <v>29</v>
      </c>
      <c r="B30" t="s">
        <v>112</v>
      </c>
      <c r="C30" t="s">
        <v>150</v>
      </c>
      <c r="D30" t="s">
        <v>216</v>
      </c>
      <c r="F30" t="str">
        <f t="shared" si="1"/>
        <v>larkin &amp; geary, sf</v>
      </c>
      <c r="J30" t="str">
        <f>"ROW" &amp;+$A$7</f>
        <v>ROW6</v>
      </c>
    </row>
    <row r="31" spans="1:10">
      <c r="A31">
        <f t="shared" si="0"/>
        <v>30</v>
      </c>
      <c r="B31" t="s">
        <v>112</v>
      </c>
      <c r="C31" t="s">
        <v>29</v>
      </c>
      <c r="D31" t="s">
        <v>216</v>
      </c>
      <c r="F31" t="str">
        <f t="shared" si="1"/>
        <v>larkin &amp; ofarrell, sf</v>
      </c>
      <c r="J31" t="str">
        <f>"ROW" &amp;+$A$7</f>
        <v>ROW6</v>
      </c>
    </row>
    <row r="32" spans="1:10">
      <c r="A32">
        <f t="shared" si="0"/>
        <v>31</v>
      </c>
      <c r="B32" t="s">
        <v>112</v>
      </c>
      <c r="C32" t="s">
        <v>151</v>
      </c>
      <c r="D32" t="s">
        <v>216</v>
      </c>
      <c r="F32" t="str">
        <f t="shared" si="1"/>
        <v>geary &amp; powell, sf</v>
      </c>
      <c r="J32" t="str">
        <f>"ROW" &amp;+$A$11</f>
        <v>ROW10</v>
      </c>
    </row>
    <row r="33" spans="1:15">
      <c r="A33">
        <f t="shared" si="0"/>
        <v>32</v>
      </c>
      <c r="B33" t="s">
        <v>112</v>
      </c>
      <c r="C33" t="s">
        <v>126</v>
      </c>
      <c r="D33" t="s">
        <v>127</v>
      </c>
      <c r="F33" t="s">
        <v>155</v>
      </c>
      <c r="K33" t="str">
        <f>"ROW" &amp;+A12</f>
        <v>ROW11</v>
      </c>
    </row>
    <row r="34" spans="1:15">
      <c r="A34">
        <f t="shared" si="0"/>
        <v>33</v>
      </c>
      <c r="B34" t="s">
        <v>112</v>
      </c>
      <c r="C34" t="s">
        <v>128</v>
      </c>
      <c r="D34" t="s">
        <v>129</v>
      </c>
      <c r="E34" t="s">
        <v>166</v>
      </c>
      <c r="F34" t="s">
        <v>156</v>
      </c>
      <c r="K34" t="str">
        <f>"ROW" &amp;+A12</f>
        <v>ROW11</v>
      </c>
    </row>
    <row r="35" spans="1:15">
      <c r="A35">
        <f t="shared" si="0"/>
        <v>34</v>
      </c>
      <c r="B35" t="s">
        <v>112</v>
      </c>
      <c r="C35" t="s">
        <v>124</v>
      </c>
      <c r="D35" t="s">
        <v>125</v>
      </c>
      <c r="F35" t="s">
        <v>157</v>
      </c>
      <c r="K35" t="str">
        <f>"ROW" &amp;+A12</f>
        <v>ROW11</v>
      </c>
    </row>
    <row r="36" spans="1:15">
      <c r="A36">
        <f t="shared" si="0"/>
        <v>35</v>
      </c>
      <c r="B36" t="s">
        <v>112</v>
      </c>
      <c r="C36" t="s">
        <v>104</v>
      </c>
      <c r="D36" t="s">
        <v>105</v>
      </c>
      <c r="J36" t="str">
        <f>+"ROW" &amp;A35</f>
        <v>ROW34</v>
      </c>
    </row>
    <row r="37" spans="1:15">
      <c r="A37">
        <f t="shared" si="0"/>
        <v>36</v>
      </c>
      <c r="B37" t="s">
        <v>112</v>
      </c>
      <c r="C37" t="s">
        <v>153</v>
      </c>
      <c r="D37" t="s">
        <v>154</v>
      </c>
      <c r="F37" t="s">
        <v>160</v>
      </c>
      <c r="K37" t="str">
        <f>"ROW" &amp;+A16</f>
        <v>ROW15</v>
      </c>
    </row>
    <row r="38" spans="1:15">
      <c r="A38">
        <f t="shared" si="0"/>
        <v>37</v>
      </c>
      <c r="B38" t="s">
        <v>112</v>
      </c>
      <c r="C38" t="s">
        <v>158</v>
      </c>
      <c r="D38" t="s">
        <v>114</v>
      </c>
      <c r="F38" t="s">
        <v>159</v>
      </c>
      <c r="K38" t="str">
        <f>"ROW" &amp;+A15</f>
        <v>ROW14</v>
      </c>
      <c r="N38" s="1"/>
      <c r="O38" s="1"/>
    </row>
    <row r="39" spans="1:15">
      <c r="A39">
        <f t="shared" si="0"/>
        <v>38</v>
      </c>
      <c r="B39" t="s">
        <v>112</v>
      </c>
      <c r="C39" t="s">
        <v>161</v>
      </c>
      <c r="D39" t="s">
        <v>162</v>
      </c>
      <c r="F39" t="s">
        <v>163</v>
      </c>
      <c r="K39" t="str">
        <f>"ROW" &amp;+A16</f>
        <v>ROW15</v>
      </c>
      <c r="N39" s="1"/>
      <c r="O39" s="1"/>
    </row>
    <row r="40" spans="1:15">
      <c r="A40">
        <f t="shared" si="0"/>
        <v>39</v>
      </c>
      <c r="B40" t="s">
        <v>112</v>
      </c>
      <c r="C40" t="s">
        <v>164</v>
      </c>
      <c r="D40" t="s">
        <v>165</v>
      </c>
      <c r="K40" t="str">
        <f>"ROW" &amp;+A13</f>
        <v>ROW12</v>
      </c>
    </row>
    <row r="41" spans="1:15">
      <c r="A41">
        <f t="shared" si="0"/>
        <v>40</v>
      </c>
      <c r="B41" t="s">
        <v>112</v>
      </c>
      <c r="C41" t="s">
        <v>166</v>
      </c>
      <c r="D41" t="s">
        <v>129</v>
      </c>
      <c r="E41" t="s">
        <v>166</v>
      </c>
      <c r="K41" t="str">
        <f>"ROW" &amp;+A14</f>
        <v>ROW13</v>
      </c>
    </row>
    <row r="42" spans="1:15">
      <c r="A42">
        <f t="shared" si="0"/>
        <v>41</v>
      </c>
      <c r="B42" t="s">
        <v>112</v>
      </c>
      <c r="C42" t="s">
        <v>167</v>
      </c>
      <c r="D42" t="s">
        <v>167</v>
      </c>
      <c r="E42" t="s">
        <v>168</v>
      </c>
      <c r="K42" t="str">
        <f>"ROW" &amp;+A12</f>
        <v>ROW11</v>
      </c>
    </row>
    <row r="43" spans="1:15">
      <c r="A43">
        <f t="shared" si="0"/>
        <v>42</v>
      </c>
      <c r="B43" t="s">
        <v>112</v>
      </c>
      <c r="C43" t="s">
        <v>28</v>
      </c>
      <c r="D43" t="s">
        <v>167</v>
      </c>
      <c r="E43" t="s">
        <v>168</v>
      </c>
      <c r="K43" t="str">
        <f>"ROW" &amp;+A31</f>
        <v>ROW30</v>
      </c>
    </row>
    <row r="44" spans="1:15">
      <c r="A44">
        <f t="shared" si="0"/>
        <v>43</v>
      </c>
      <c r="B44" t="s">
        <v>112</v>
      </c>
      <c r="C44" t="s">
        <v>30</v>
      </c>
      <c r="D44" t="s">
        <v>167</v>
      </c>
      <c r="E44" t="s">
        <v>168</v>
      </c>
      <c r="K44" t="str">
        <f>"ROW" &amp;+A30</f>
        <v>ROW29</v>
      </c>
    </row>
    <row r="45" spans="1:15">
      <c r="A45">
        <f t="shared" si="0"/>
        <v>44</v>
      </c>
      <c r="B45" t="s">
        <v>112</v>
      </c>
      <c r="C45" t="s">
        <v>169</v>
      </c>
      <c r="D45" t="s">
        <v>170</v>
      </c>
      <c r="K45" t="str">
        <f>"ROW" &amp;+A14</f>
        <v>ROW13</v>
      </c>
    </row>
    <row r="46" spans="1:15">
      <c r="A46">
        <f t="shared" si="0"/>
        <v>45</v>
      </c>
      <c r="B46" t="s">
        <v>112</v>
      </c>
      <c r="C46" t="s">
        <v>171</v>
      </c>
      <c r="D46" t="s">
        <v>170</v>
      </c>
      <c r="E46" t="s">
        <v>127</v>
      </c>
      <c r="K46" t="str">
        <f>"ROW" &amp;+A14</f>
        <v>ROW13</v>
      </c>
    </row>
    <row r="47" spans="1:15">
      <c r="A47">
        <f t="shared" si="0"/>
        <v>46</v>
      </c>
      <c r="B47" t="s">
        <v>112</v>
      </c>
      <c r="C47" t="s">
        <v>16</v>
      </c>
      <c r="D47" t="s">
        <v>16</v>
      </c>
      <c r="E47" t="s">
        <v>19</v>
      </c>
      <c r="K47" t="str">
        <f>"ROW" &amp;+A17</f>
        <v>ROW16</v>
      </c>
    </row>
    <row r="48" spans="1:15">
      <c r="A48">
        <f t="shared" si="0"/>
        <v>47</v>
      </c>
      <c r="B48" t="s">
        <v>112</v>
      </c>
      <c r="C48" t="s">
        <v>17</v>
      </c>
      <c r="D48" t="s">
        <v>18</v>
      </c>
      <c r="G48" t="str">
        <f>"ROW" &amp;+A47</f>
        <v>ROW46</v>
      </c>
    </row>
    <row r="49" spans="1:11">
      <c r="A49">
        <f t="shared" si="0"/>
        <v>48</v>
      </c>
      <c r="B49" t="s">
        <v>112</v>
      </c>
      <c r="C49" t="s">
        <v>172</v>
      </c>
      <c r="D49" t="s">
        <v>172</v>
      </c>
      <c r="J49" t="str">
        <f>"ROW" &amp;+A35</f>
        <v>ROW34</v>
      </c>
    </row>
    <row r="50" spans="1:11">
      <c r="A50">
        <f t="shared" si="0"/>
        <v>49</v>
      </c>
      <c r="B50" t="s">
        <v>112</v>
      </c>
      <c r="C50" t="s">
        <v>106</v>
      </c>
      <c r="D50" t="s">
        <v>105</v>
      </c>
      <c r="J50" t="str">
        <f>"ROW" &amp;+A49</f>
        <v>ROW48</v>
      </c>
    </row>
    <row r="51" spans="1:11">
      <c r="A51">
        <f t="shared" si="0"/>
        <v>50</v>
      </c>
      <c r="B51" t="s">
        <v>112</v>
      </c>
      <c r="C51" t="s">
        <v>173</v>
      </c>
      <c r="D51" t="s">
        <v>125</v>
      </c>
      <c r="K51" t="str">
        <f>"ROW" &amp;+A20</f>
        <v>ROW19</v>
      </c>
    </row>
    <row r="52" spans="1:11">
      <c r="A52">
        <f t="shared" si="0"/>
        <v>51</v>
      </c>
      <c r="B52" t="s">
        <v>112</v>
      </c>
      <c r="C52" t="s">
        <v>174</v>
      </c>
      <c r="D52" t="s">
        <v>168</v>
      </c>
      <c r="K52" t="str">
        <f>"ROW" &amp;+A20</f>
        <v>ROW19</v>
      </c>
    </row>
    <row r="53" spans="1:11">
      <c r="A53">
        <f t="shared" si="0"/>
        <v>52</v>
      </c>
      <c r="B53" t="s">
        <v>112</v>
      </c>
      <c r="C53" t="s">
        <v>175</v>
      </c>
      <c r="D53" t="s">
        <v>168</v>
      </c>
      <c r="K53" t="str">
        <f>"ROW" &amp;+A20</f>
        <v>ROW19</v>
      </c>
    </row>
    <row r="54" spans="1:11">
      <c r="A54">
        <f t="shared" si="0"/>
        <v>53</v>
      </c>
      <c r="B54" t="s">
        <v>112</v>
      </c>
      <c r="C54" t="s">
        <v>175</v>
      </c>
      <c r="D54" t="s">
        <v>168</v>
      </c>
      <c r="K54" t="str">
        <f>"ROW" &amp;+A23</f>
        <v>ROW22</v>
      </c>
    </row>
    <row r="55" spans="1:11">
      <c r="A55">
        <f t="shared" si="0"/>
        <v>54</v>
      </c>
      <c r="B55" t="s">
        <v>112</v>
      </c>
      <c r="C55" t="s">
        <v>176</v>
      </c>
      <c r="D55" t="s">
        <v>114</v>
      </c>
      <c r="K55" t="str">
        <f>"ROW" &amp;+A21</f>
        <v>ROW20</v>
      </c>
    </row>
    <row r="56" spans="1:11">
      <c r="A56">
        <f t="shared" si="0"/>
        <v>55</v>
      </c>
      <c r="B56" t="s">
        <v>112</v>
      </c>
      <c r="C56" t="s">
        <v>176</v>
      </c>
      <c r="D56" t="s">
        <v>114</v>
      </c>
      <c r="K56" t="str">
        <f>"ROW" &amp;+A22</f>
        <v>ROW21</v>
      </c>
    </row>
    <row r="57" spans="1:11">
      <c r="A57">
        <f t="shared" si="0"/>
        <v>56</v>
      </c>
      <c r="B57" t="s">
        <v>112</v>
      </c>
      <c r="C57" t="s">
        <v>177</v>
      </c>
      <c r="D57" t="s">
        <v>178</v>
      </c>
      <c r="K57" t="str">
        <f>"ROW" &amp;+A26</f>
        <v>ROW25</v>
      </c>
    </row>
    <row r="58" spans="1:11">
      <c r="A58">
        <f t="shared" si="0"/>
        <v>57</v>
      </c>
      <c r="B58" t="s">
        <v>112</v>
      </c>
      <c r="C58" t="s">
        <v>179</v>
      </c>
      <c r="D58" t="s">
        <v>180</v>
      </c>
      <c r="K58" t="str">
        <f>"ROW" &amp;+A26</f>
        <v>ROW25</v>
      </c>
    </row>
    <row r="59" spans="1:11">
      <c r="A59">
        <f t="shared" si="0"/>
        <v>58</v>
      </c>
      <c r="B59" t="s">
        <v>112</v>
      </c>
      <c r="C59" t="s">
        <v>176</v>
      </c>
      <c r="D59" t="s">
        <v>114</v>
      </c>
      <c r="K59" t="str">
        <f>"ROW" &amp;+A26</f>
        <v>ROW25</v>
      </c>
    </row>
    <row r="60" spans="1:11">
      <c r="A60">
        <f t="shared" si="0"/>
        <v>59</v>
      </c>
      <c r="B60" t="s">
        <v>112</v>
      </c>
      <c r="C60" t="s">
        <v>181</v>
      </c>
      <c r="D60" t="s">
        <v>114</v>
      </c>
      <c r="K60" t="str">
        <f>"ROW" &amp;+A27</f>
        <v>ROW26</v>
      </c>
    </row>
    <row r="61" spans="1:11">
      <c r="A61">
        <f t="shared" si="0"/>
        <v>60</v>
      </c>
      <c r="B61" t="s">
        <v>112</v>
      </c>
      <c r="C61" t="s">
        <v>182</v>
      </c>
      <c r="D61" t="s">
        <v>182</v>
      </c>
      <c r="K61" t="str">
        <f>"ROW" &amp;+A20</f>
        <v>ROW19</v>
      </c>
    </row>
    <row r="62" spans="1:11">
      <c r="A62">
        <f t="shared" si="0"/>
        <v>61</v>
      </c>
      <c r="B62" t="s">
        <v>112</v>
      </c>
      <c r="C62" t="s">
        <v>183</v>
      </c>
      <c r="D62" t="s">
        <v>168</v>
      </c>
      <c r="K62" t="str">
        <f>"ROW" &amp;+A23</f>
        <v>ROW22</v>
      </c>
    </row>
    <row r="63" spans="1:11">
      <c r="A63">
        <f t="shared" si="0"/>
        <v>62</v>
      </c>
      <c r="B63" t="s">
        <v>112</v>
      </c>
      <c r="C63" t="s">
        <v>184</v>
      </c>
      <c r="D63" t="s">
        <v>185</v>
      </c>
      <c r="K63" t="str">
        <f>"ROW" &amp;+A29</f>
        <v>ROW28</v>
      </c>
    </row>
    <row r="64" spans="1:11">
      <c r="A64">
        <f t="shared" si="0"/>
        <v>63</v>
      </c>
      <c r="B64" t="s">
        <v>112</v>
      </c>
      <c r="C64" t="s">
        <v>166</v>
      </c>
      <c r="D64" t="s">
        <v>129</v>
      </c>
      <c r="E64" t="s">
        <v>166</v>
      </c>
      <c r="K64" t="str">
        <f>"ROW" &amp;+A29</f>
        <v>ROW28</v>
      </c>
    </row>
    <row r="65" spans="1:21">
      <c r="A65">
        <f t="shared" si="0"/>
        <v>64</v>
      </c>
      <c r="B65" t="s">
        <v>112</v>
      </c>
      <c r="C65" t="s">
        <v>186</v>
      </c>
      <c r="D65" t="s">
        <v>186</v>
      </c>
      <c r="K65" t="str">
        <f>"ROW" &amp;+A12</f>
        <v>ROW11</v>
      </c>
    </row>
    <row r="66" spans="1:21">
      <c r="A66">
        <f t="shared" si="0"/>
        <v>65</v>
      </c>
      <c r="B66" t="s">
        <v>112</v>
      </c>
      <c r="C66" t="s">
        <v>186</v>
      </c>
      <c r="D66" t="s">
        <v>186</v>
      </c>
      <c r="K66" t="str">
        <f>"ROW" &amp;+A13</f>
        <v>ROW12</v>
      </c>
    </row>
    <row r="67" spans="1:21">
      <c r="A67">
        <f t="shared" si="0"/>
        <v>66</v>
      </c>
      <c r="B67" t="s">
        <v>112</v>
      </c>
      <c r="C67" t="s">
        <v>186</v>
      </c>
      <c r="D67" t="s">
        <v>186</v>
      </c>
      <c r="K67" t="str">
        <f>"ROW" &amp;+A16</f>
        <v>ROW15</v>
      </c>
    </row>
    <row r="68" spans="1:21">
      <c r="A68">
        <f t="shared" si="0"/>
        <v>67</v>
      </c>
      <c r="B68" t="s">
        <v>112</v>
      </c>
      <c r="C68" t="s">
        <v>186</v>
      </c>
      <c r="D68" t="s">
        <v>186</v>
      </c>
      <c r="K68" t="str">
        <f>"ROW" &amp;+A26</f>
        <v>ROW25</v>
      </c>
    </row>
    <row r="69" spans="1:21">
      <c r="A69">
        <f t="shared" si="0"/>
        <v>68</v>
      </c>
      <c r="B69" t="s">
        <v>112</v>
      </c>
      <c r="C69" t="s">
        <v>186</v>
      </c>
      <c r="D69" t="s">
        <v>186</v>
      </c>
      <c r="K69" t="str">
        <f>"ROW" &amp;+A28</f>
        <v>ROW27</v>
      </c>
    </row>
    <row r="70" spans="1:21">
      <c r="A70">
        <f t="shared" si="0"/>
        <v>69</v>
      </c>
      <c r="B70" t="s">
        <v>112</v>
      </c>
      <c r="C70" t="s">
        <v>187</v>
      </c>
      <c r="D70" t="s">
        <v>188</v>
      </c>
      <c r="F70" t="s">
        <v>189</v>
      </c>
      <c r="K70" t="str">
        <f>"ROW" &amp;+A28</f>
        <v>ROW27</v>
      </c>
    </row>
    <row r="71" spans="1:21">
      <c r="A71">
        <f t="shared" si="0"/>
        <v>70</v>
      </c>
      <c r="B71" t="s">
        <v>112</v>
      </c>
      <c r="C71" t="s">
        <v>190</v>
      </c>
      <c r="D71" t="s">
        <v>191</v>
      </c>
      <c r="K71" t="str">
        <f>"ROW" &amp;+A13</f>
        <v>ROW12</v>
      </c>
    </row>
    <row r="72" spans="1:21">
      <c r="A72">
        <f t="shared" ref="A72:A109" si="3">+A71+1</f>
        <v>71</v>
      </c>
      <c r="B72" t="s">
        <v>115</v>
      </c>
      <c r="C72" t="s">
        <v>199</v>
      </c>
      <c r="D72" t="s">
        <v>199</v>
      </c>
      <c r="H72" t="str">
        <f>"ROW" &amp;+A49</f>
        <v>ROW48</v>
      </c>
    </row>
    <row r="73" spans="1:21">
      <c r="A73">
        <f t="shared" si="3"/>
        <v>72</v>
      </c>
      <c r="B73" t="s">
        <v>115</v>
      </c>
      <c r="C73" t="s">
        <v>116</v>
      </c>
      <c r="D73" t="s">
        <v>192</v>
      </c>
      <c r="J73" t="str">
        <f>"ROW" &amp;+A72</f>
        <v>ROW71</v>
      </c>
      <c r="N73" t="s">
        <v>198</v>
      </c>
      <c r="P73" t="s">
        <v>197</v>
      </c>
      <c r="Q73" t="s">
        <v>206</v>
      </c>
      <c r="S73" t="s">
        <v>49</v>
      </c>
      <c r="T73" t="s">
        <v>50</v>
      </c>
      <c r="U73" t="s">
        <v>49</v>
      </c>
    </row>
    <row r="74" spans="1:21">
      <c r="A74">
        <f t="shared" si="3"/>
        <v>73</v>
      </c>
      <c r="B74" t="s">
        <v>115</v>
      </c>
      <c r="C74" t="s">
        <v>195</v>
      </c>
      <c r="D74" t="s">
        <v>195</v>
      </c>
      <c r="G74" t="str">
        <f>"ROW" &amp;+A73</f>
        <v>ROW72</v>
      </c>
    </row>
    <row r="75" spans="1:21">
      <c r="A75">
        <f t="shared" si="3"/>
        <v>74</v>
      </c>
      <c r="B75" t="s">
        <v>115</v>
      </c>
      <c r="C75" t="s">
        <v>196</v>
      </c>
      <c r="D75" t="s">
        <v>196</v>
      </c>
      <c r="G75" t="str">
        <f>"ROW" &amp;+A73</f>
        <v>ROW72</v>
      </c>
    </row>
    <row r="76" spans="1:21">
      <c r="A76">
        <f t="shared" si="3"/>
        <v>75</v>
      </c>
      <c r="B76" t="s">
        <v>115</v>
      </c>
      <c r="C76" t="s">
        <v>107</v>
      </c>
      <c r="D76" t="s">
        <v>107</v>
      </c>
      <c r="J76" t="str">
        <f>+"ROW" &amp;A72</f>
        <v>ROW71</v>
      </c>
    </row>
    <row r="77" spans="1:21">
      <c r="A77">
        <f t="shared" si="3"/>
        <v>76</v>
      </c>
      <c r="B77" t="s">
        <v>115</v>
      </c>
      <c r="C77" t="s">
        <v>108</v>
      </c>
      <c r="D77" t="s">
        <v>108</v>
      </c>
      <c r="J77" t="str">
        <f>+"ROW" &amp;A76</f>
        <v>ROW75</v>
      </c>
    </row>
    <row r="78" spans="1:21">
      <c r="A78">
        <f t="shared" si="3"/>
        <v>77</v>
      </c>
      <c r="B78" t="s">
        <v>115</v>
      </c>
      <c r="C78" t="s">
        <v>0</v>
      </c>
      <c r="D78" t="s">
        <v>0</v>
      </c>
      <c r="G78" t="str">
        <f>+"ROW" &amp;A77</f>
        <v>ROW76</v>
      </c>
    </row>
    <row r="79" spans="1:21">
      <c r="A79">
        <f t="shared" si="3"/>
        <v>78</v>
      </c>
      <c r="B79" t="s">
        <v>115</v>
      </c>
      <c r="C79" t="s">
        <v>200</v>
      </c>
      <c r="D79" t="s">
        <v>201</v>
      </c>
      <c r="J79" t="str">
        <f>"ROW" &amp;+A71</f>
        <v>ROW70</v>
      </c>
      <c r="N79" t="s">
        <v>202</v>
      </c>
      <c r="Q79" t="s">
        <v>207</v>
      </c>
    </row>
    <row r="80" spans="1:21">
      <c r="A80">
        <f t="shared" si="3"/>
        <v>79</v>
      </c>
      <c r="B80" t="s">
        <v>115</v>
      </c>
      <c r="C80" t="s">
        <v>203</v>
      </c>
      <c r="D80" t="s">
        <v>203</v>
      </c>
      <c r="G80" t="str">
        <f>"ROW" &amp;+A79</f>
        <v>ROW78</v>
      </c>
      <c r="Q80" t="s">
        <v>205</v>
      </c>
      <c r="R80" t="s">
        <v>210</v>
      </c>
    </row>
    <row r="81" spans="1:17">
      <c r="A81">
        <f t="shared" si="3"/>
        <v>80</v>
      </c>
      <c r="B81" t="s">
        <v>115</v>
      </c>
      <c r="C81" t="s">
        <v>116</v>
      </c>
      <c r="D81" t="s">
        <v>192</v>
      </c>
      <c r="J81" t="str">
        <f>"ROW" &amp;+A79</f>
        <v>ROW78</v>
      </c>
      <c r="Q81" t="s">
        <v>208</v>
      </c>
    </row>
    <row r="82" spans="1:17">
      <c r="A82">
        <f t="shared" si="3"/>
        <v>81</v>
      </c>
      <c r="B82" t="s">
        <v>115</v>
      </c>
      <c r="C82" t="s">
        <v>212</v>
      </c>
      <c r="D82" t="s">
        <v>211</v>
      </c>
      <c r="J82" t="str">
        <f>"ROW" &amp;+A71</f>
        <v>ROW70</v>
      </c>
      <c r="P82" t="s">
        <v>213</v>
      </c>
    </row>
    <row r="83" spans="1:17">
      <c r="A83">
        <f t="shared" si="3"/>
        <v>82</v>
      </c>
      <c r="B83" t="s">
        <v>115</v>
      </c>
      <c r="C83" t="s">
        <v>214</v>
      </c>
      <c r="D83" t="s">
        <v>214</v>
      </c>
      <c r="K83" t="str">
        <f>"ROW" &amp;+A65</f>
        <v>ROW64</v>
      </c>
    </row>
    <row r="84" spans="1:17">
      <c r="A84">
        <f t="shared" si="3"/>
        <v>83</v>
      </c>
      <c r="B84" t="s">
        <v>115</v>
      </c>
      <c r="C84" t="s">
        <v>214</v>
      </c>
      <c r="D84" t="s">
        <v>214</v>
      </c>
      <c r="K84" t="str">
        <f>"ROW" &amp;+A66</f>
        <v>ROW65</v>
      </c>
    </row>
    <row r="85" spans="1:17">
      <c r="A85">
        <f t="shared" si="3"/>
        <v>84</v>
      </c>
      <c r="B85" t="s">
        <v>115</v>
      </c>
      <c r="C85" t="s">
        <v>215</v>
      </c>
      <c r="D85" t="s">
        <v>215</v>
      </c>
      <c r="K85" t="str">
        <f>"ROW" &amp;+A65</f>
        <v>ROW64</v>
      </c>
    </row>
    <row r="86" spans="1:17">
      <c r="A86">
        <f t="shared" si="3"/>
        <v>85</v>
      </c>
      <c r="B86" t="s">
        <v>115</v>
      </c>
      <c r="C86" t="s">
        <v>2</v>
      </c>
      <c r="D86" t="s">
        <v>2</v>
      </c>
      <c r="E86" t="s">
        <v>10</v>
      </c>
      <c r="K86" t="str">
        <f>"ROW" &amp;+A48</f>
        <v>ROW47</v>
      </c>
    </row>
    <row r="87" spans="1:17">
      <c r="A87">
        <f t="shared" si="3"/>
        <v>86</v>
      </c>
      <c r="B87" t="s">
        <v>115</v>
      </c>
      <c r="C87" t="s">
        <v>3</v>
      </c>
      <c r="D87" t="s">
        <v>3</v>
      </c>
      <c r="E87" t="s">
        <v>10</v>
      </c>
      <c r="K87" t="str">
        <f>"ROW" &amp;+A49</f>
        <v>ROW48</v>
      </c>
    </row>
    <row r="88" spans="1:17">
      <c r="A88">
        <f t="shared" si="3"/>
        <v>87</v>
      </c>
      <c r="B88" t="s">
        <v>115</v>
      </c>
      <c r="C88" t="s">
        <v>4</v>
      </c>
      <c r="D88" t="s">
        <v>4</v>
      </c>
      <c r="J88" t="str">
        <f>"ROW" &amp;+A72</f>
        <v>ROW71</v>
      </c>
    </row>
    <row r="89" spans="1:17">
      <c r="A89">
        <f t="shared" si="3"/>
        <v>88</v>
      </c>
      <c r="B89" t="s">
        <v>115</v>
      </c>
      <c r="C89" t="s">
        <v>5</v>
      </c>
      <c r="D89" t="s">
        <v>5</v>
      </c>
      <c r="J89" t="str">
        <f>"ROW" &amp;+A84</f>
        <v>ROW83</v>
      </c>
    </row>
    <row r="90" spans="1:17">
      <c r="A90">
        <f t="shared" si="3"/>
        <v>89</v>
      </c>
      <c r="B90" t="s">
        <v>115</v>
      </c>
      <c r="C90" t="s">
        <v>11</v>
      </c>
      <c r="D90" t="s">
        <v>6</v>
      </c>
      <c r="E90" t="s">
        <v>12</v>
      </c>
      <c r="J90" t="str">
        <f>"ROW" &amp;+A34</f>
        <v>ROW33</v>
      </c>
    </row>
    <row r="91" spans="1:17">
      <c r="A91">
        <f t="shared" si="3"/>
        <v>90</v>
      </c>
      <c r="B91" t="s">
        <v>115</v>
      </c>
      <c r="C91" t="s">
        <v>7</v>
      </c>
      <c r="D91" t="s">
        <v>25</v>
      </c>
      <c r="E91" t="s">
        <v>9</v>
      </c>
      <c r="J91" t="str">
        <f>"ROW" &amp;+A34</f>
        <v>ROW33</v>
      </c>
    </row>
    <row r="92" spans="1:17">
      <c r="A92">
        <f t="shared" si="3"/>
        <v>91</v>
      </c>
      <c r="B92" t="s">
        <v>115</v>
      </c>
      <c r="C92" t="s">
        <v>8</v>
      </c>
      <c r="D92" t="s">
        <v>26</v>
      </c>
      <c r="E92" t="s">
        <v>9</v>
      </c>
      <c r="J92" t="str">
        <f>"ROW" &amp;+A34</f>
        <v>ROW33</v>
      </c>
    </row>
    <row r="93" spans="1:17">
      <c r="A93">
        <f t="shared" si="3"/>
        <v>92</v>
      </c>
      <c r="B93" t="s">
        <v>115</v>
      </c>
      <c r="C93" t="s">
        <v>13</v>
      </c>
      <c r="D93" t="s">
        <v>192</v>
      </c>
      <c r="E93" t="s">
        <v>9</v>
      </c>
      <c r="J93" t="str">
        <f>"ROW" &amp;+A34</f>
        <v>ROW33</v>
      </c>
      <c r="N93" t="s">
        <v>14</v>
      </c>
    </row>
    <row r="94" spans="1:17">
      <c r="A94">
        <f t="shared" si="3"/>
        <v>93</v>
      </c>
      <c r="B94" t="s">
        <v>115</v>
      </c>
      <c r="C94" t="s">
        <v>13</v>
      </c>
      <c r="D94" t="s">
        <v>192</v>
      </c>
      <c r="E94" t="s">
        <v>9</v>
      </c>
      <c r="J94" t="str">
        <f>"ROW" &amp;+A55</f>
        <v>ROW54</v>
      </c>
      <c r="N94" t="s">
        <v>14</v>
      </c>
      <c r="O94" t="s">
        <v>15</v>
      </c>
    </row>
    <row r="95" spans="1:17">
      <c r="A95">
        <f t="shared" si="3"/>
        <v>94</v>
      </c>
      <c r="B95" t="s">
        <v>115</v>
      </c>
      <c r="C95" t="s">
        <v>13</v>
      </c>
      <c r="D95" t="s">
        <v>192</v>
      </c>
      <c r="E95" t="s">
        <v>9</v>
      </c>
      <c r="J95" t="str">
        <f>"ROW" &amp;+A56</f>
        <v>ROW55</v>
      </c>
      <c r="N95" t="s">
        <v>14</v>
      </c>
      <c r="O95" t="s">
        <v>15</v>
      </c>
    </row>
    <row r="96" spans="1:17">
      <c r="A96">
        <f t="shared" si="3"/>
        <v>95</v>
      </c>
      <c r="B96" t="s">
        <v>115</v>
      </c>
      <c r="C96" t="s">
        <v>20</v>
      </c>
      <c r="D96" t="s">
        <v>20</v>
      </c>
      <c r="E96" t="s">
        <v>22</v>
      </c>
      <c r="K96" t="str">
        <f>"ROW" &amp;+A65</f>
        <v>ROW64</v>
      </c>
    </row>
    <row r="97" spans="1:23">
      <c r="A97">
        <f t="shared" si="3"/>
        <v>96</v>
      </c>
      <c r="B97" t="s">
        <v>115</v>
      </c>
      <c r="C97" t="s">
        <v>24</v>
      </c>
      <c r="D97" t="s">
        <v>27</v>
      </c>
      <c r="E97" t="s">
        <v>9</v>
      </c>
      <c r="J97" t="str">
        <f>"ROW" &amp;+A42</f>
        <v>ROW41</v>
      </c>
    </row>
    <row r="98" spans="1:23">
      <c r="A98">
        <f t="shared" si="3"/>
        <v>97</v>
      </c>
      <c r="B98" t="s">
        <v>115</v>
      </c>
      <c r="C98" t="s">
        <v>24</v>
      </c>
      <c r="D98" t="s">
        <v>27</v>
      </c>
      <c r="E98" t="s">
        <v>9</v>
      </c>
      <c r="J98" t="str">
        <f>"ROW" &amp;+A44</f>
        <v>ROW43</v>
      </c>
    </row>
    <row r="99" spans="1:23">
      <c r="A99">
        <f t="shared" si="3"/>
        <v>98</v>
      </c>
      <c r="B99" t="s">
        <v>115</v>
      </c>
      <c r="C99" t="s">
        <v>24</v>
      </c>
      <c r="D99" t="s">
        <v>27</v>
      </c>
      <c r="E99" t="s">
        <v>9</v>
      </c>
      <c r="J99" t="str">
        <f>"ROW" &amp;+A43</f>
        <v>ROW42</v>
      </c>
    </row>
    <row r="100" spans="1:23">
      <c r="A100">
        <f t="shared" si="3"/>
        <v>99</v>
      </c>
      <c r="B100" t="s">
        <v>112</v>
      </c>
      <c r="C100" t="s">
        <v>36</v>
      </c>
      <c r="D100" t="s">
        <v>18</v>
      </c>
      <c r="J100" t="str">
        <f>"ROW" &amp;+A51</f>
        <v>ROW50</v>
      </c>
    </row>
    <row r="101" spans="1:23">
      <c r="A101">
        <f t="shared" si="3"/>
        <v>100</v>
      </c>
      <c r="B101" t="s">
        <v>112</v>
      </c>
      <c r="C101" t="s">
        <v>35</v>
      </c>
      <c r="D101" t="s">
        <v>34</v>
      </c>
      <c r="K101" t="str">
        <f>"ROW" &amp;+A100</f>
        <v>ROW99</v>
      </c>
    </row>
    <row r="102" spans="1:23">
      <c r="A102">
        <f t="shared" si="3"/>
        <v>101</v>
      </c>
      <c r="B102" t="s">
        <v>115</v>
      </c>
      <c r="C102" t="s">
        <v>32</v>
      </c>
      <c r="J102" t="str">
        <f>"ROW" &amp;+A101</f>
        <v>ROW100</v>
      </c>
    </row>
    <row r="103" spans="1:23">
      <c r="A103">
        <f t="shared" si="3"/>
        <v>102</v>
      </c>
      <c r="B103" t="s">
        <v>115</v>
      </c>
      <c r="C103" t="s">
        <v>33</v>
      </c>
      <c r="D103" t="s">
        <v>2</v>
      </c>
      <c r="E103" t="s">
        <v>10</v>
      </c>
      <c r="J103" t="str">
        <f>"ROW" &amp;+A101</f>
        <v>ROW100</v>
      </c>
    </row>
    <row r="104" spans="1:23">
      <c r="A104">
        <f t="shared" si="3"/>
        <v>103</v>
      </c>
      <c r="B104" t="s">
        <v>115</v>
      </c>
      <c r="C104" t="s">
        <v>37</v>
      </c>
      <c r="D104" t="s">
        <v>38</v>
      </c>
      <c r="E104" t="s">
        <v>10</v>
      </c>
      <c r="H104" t="str">
        <f>"ROW" &amp;+A101</f>
        <v>ROW100</v>
      </c>
    </row>
    <row r="105" spans="1:23">
      <c r="A105">
        <f t="shared" si="3"/>
        <v>104</v>
      </c>
      <c r="B105" t="s">
        <v>115</v>
      </c>
      <c r="C105" t="s">
        <v>39</v>
      </c>
      <c r="D105" t="s">
        <v>10</v>
      </c>
      <c r="J105" t="str">
        <f>"ROW" &amp;A101</f>
        <v>ROW100</v>
      </c>
      <c r="L105" t="str">
        <f>"ROW" &amp;+A102</f>
        <v>ROW101</v>
      </c>
    </row>
    <row r="106" spans="1:23">
      <c r="A106">
        <f t="shared" si="3"/>
        <v>105</v>
      </c>
      <c r="B106" t="s">
        <v>112</v>
      </c>
      <c r="C106" t="s">
        <v>40</v>
      </c>
      <c r="D106" t="s">
        <v>41</v>
      </c>
      <c r="J106" t="str">
        <f>"ROW" &amp;A101</f>
        <v>ROW100</v>
      </c>
      <c r="L106" t="str">
        <f>+"ROW" &amp;A105</f>
        <v>ROW104</v>
      </c>
    </row>
    <row r="107" spans="1:23">
      <c r="A107">
        <f t="shared" si="3"/>
        <v>106</v>
      </c>
      <c r="B107" t="s">
        <v>112</v>
      </c>
      <c r="C107" t="s">
        <v>42</v>
      </c>
      <c r="D107" t="s">
        <v>41</v>
      </c>
      <c r="J107" t="str">
        <f>"ROW" &amp;+A101</f>
        <v>ROW100</v>
      </c>
    </row>
    <row r="108" spans="1:23">
      <c r="A108">
        <f t="shared" si="3"/>
        <v>107</v>
      </c>
      <c r="B108" t="s">
        <v>115</v>
      </c>
      <c r="C108" t="s">
        <v>43</v>
      </c>
      <c r="D108" t="s">
        <v>10</v>
      </c>
      <c r="K108" t="str">
        <f>"ROW" &amp;+A107</f>
        <v>ROW106</v>
      </c>
    </row>
    <row r="109" spans="1:23">
      <c r="A109">
        <f t="shared" si="3"/>
        <v>108</v>
      </c>
      <c r="B109" t="s">
        <v>115</v>
      </c>
      <c r="C109" t="s">
        <v>192</v>
      </c>
      <c r="D109" t="s">
        <v>192</v>
      </c>
      <c r="J109" t="str">
        <f>"ROW" &amp;+A108</f>
        <v>ROW107</v>
      </c>
      <c r="N109" t="s">
        <v>14</v>
      </c>
      <c r="V109" t="s">
        <v>68</v>
      </c>
      <c r="W109" t="s">
        <v>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published="0" codeName="Sheet2" enableFormatConditionsCalculation="0"/>
  <dimension ref="A1:B15"/>
  <sheetViews>
    <sheetView workbookViewId="0">
      <selection activeCell="B16" sqref="B16"/>
    </sheetView>
  </sheetViews>
  <sheetFormatPr defaultColWidth="8.88671875" defaultRowHeight="14.4"/>
  <sheetData>
    <row r="1" spans="1:2">
      <c r="A1" t="s">
        <v>51</v>
      </c>
    </row>
    <row r="2" spans="1:2">
      <c r="A2" t="s">
        <v>52</v>
      </c>
    </row>
    <row r="3" spans="1:2">
      <c r="A3" t="s">
        <v>53</v>
      </c>
    </row>
    <row r="4" spans="1:2">
      <c r="A4" t="s">
        <v>54</v>
      </c>
    </row>
    <row r="5" spans="1:2">
      <c r="A5" t="s">
        <v>55</v>
      </c>
    </row>
    <row r="6" spans="1:2">
      <c r="A6" t="s">
        <v>56</v>
      </c>
    </row>
    <row r="7" spans="1:2">
      <c r="A7" t="s">
        <v>57</v>
      </c>
    </row>
    <row r="8" spans="1:2">
      <c r="A8" t="s">
        <v>58</v>
      </c>
    </row>
    <row r="9" spans="1:2">
      <c r="A9" t="s">
        <v>59</v>
      </c>
    </row>
    <row r="10" spans="1:2">
      <c r="A10" t="s">
        <v>60</v>
      </c>
    </row>
    <row r="11" spans="1:2">
      <c r="A11" t="s">
        <v>61</v>
      </c>
      <c r="B11" t="s">
        <v>62</v>
      </c>
    </row>
    <row r="12" spans="1:2">
      <c r="B12" t="s">
        <v>63</v>
      </c>
    </row>
    <row r="13" spans="1:2">
      <c r="B13" t="s">
        <v>64</v>
      </c>
    </row>
    <row r="14" spans="1:2">
      <c r="B14" t="s">
        <v>65</v>
      </c>
    </row>
    <row r="15" spans="1:2">
      <c r="B15" t="s">
        <v>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published="0" codeName="Sheet3" enableFormatConditionsCalculation="0"/>
  <dimension ref="A1:B95"/>
  <sheetViews>
    <sheetView workbookViewId="0">
      <selection sqref="A1:B1048576"/>
    </sheetView>
  </sheetViews>
  <sheetFormatPr defaultColWidth="8.88671875" defaultRowHeight="14.4" outlineLevelCol="1"/>
  <cols>
    <col min="1" max="1" width="18.109375" customWidth="1" outlineLevel="1"/>
    <col min="2" max="2" width="15.6640625" bestFit="1" customWidth="1"/>
  </cols>
  <sheetData>
    <row r="1" spans="2:2">
      <c r="B1" t="s">
        <v>67</v>
      </c>
    </row>
    <row r="2" spans="2:2">
      <c r="B2" t="str">
        <f>+"ROW" &amp;test_data!A6</f>
        <v>ROW5</v>
      </c>
    </row>
    <row r="3" spans="2:2">
      <c r="B3" t="str">
        <f>+"ROW" &amp;test_data!A12</f>
        <v>ROW11</v>
      </c>
    </row>
    <row r="4" spans="2:2">
      <c r="B4" t="str">
        <f>+"ROW" &amp;test_data!A13</f>
        <v>ROW12</v>
      </c>
    </row>
    <row r="5" spans="2:2">
      <c r="B5" t="str">
        <f>+"ROW" &amp;test_data!A14</f>
        <v>ROW13</v>
      </c>
    </row>
    <row r="6" spans="2:2">
      <c r="B6" t="str">
        <f>+"ROW" &amp;test_data!A15</f>
        <v>ROW14</v>
      </c>
    </row>
    <row r="7" spans="2:2">
      <c r="B7" t="str">
        <f>+"ROW" &amp;test_data!A16</f>
        <v>ROW15</v>
      </c>
    </row>
    <row r="8" spans="2:2">
      <c r="B8" t="str">
        <f>+"ROW" &amp;test_data!A17</f>
        <v>ROW16</v>
      </c>
    </row>
    <row r="9" spans="2:2">
      <c r="B9" t="str">
        <f>+"ROW" &amp;test_data!A18</f>
        <v>ROW17</v>
      </c>
    </row>
    <row r="10" spans="2:2">
      <c r="B10" t="str">
        <f>+"ROW" &amp;test_data!A19</f>
        <v>ROW18</v>
      </c>
    </row>
    <row r="11" spans="2:2">
      <c r="B11" t="str">
        <f>+"ROW" &amp;test_data!A20</f>
        <v>ROW19</v>
      </c>
    </row>
    <row r="12" spans="2:2">
      <c r="B12" t="str">
        <f>+"ROW" &amp;test_data!A21</f>
        <v>ROW20</v>
      </c>
    </row>
    <row r="13" spans="2:2">
      <c r="B13" t="str">
        <f>+"ROW" &amp;test_data!A22</f>
        <v>ROW21</v>
      </c>
    </row>
    <row r="14" spans="2:2">
      <c r="B14" t="str">
        <f>+"ROW" &amp;test_data!A23</f>
        <v>ROW22</v>
      </c>
    </row>
    <row r="15" spans="2:2">
      <c r="B15" t="str">
        <f>+"ROW" &amp;test_data!A24</f>
        <v>ROW23</v>
      </c>
    </row>
    <row r="16" spans="2:2">
      <c r="B16" t="str">
        <f>+"ROW" &amp;test_data!A25</f>
        <v>ROW24</v>
      </c>
    </row>
    <row r="17" spans="1:2">
      <c r="B17" t="str">
        <f>+"ROW" &amp;test_data!A26</f>
        <v>ROW25</v>
      </c>
    </row>
    <row r="18" spans="1:2">
      <c r="B18" t="str">
        <f>+"ROW" &amp;test_data!A27</f>
        <v>ROW26</v>
      </c>
    </row>
    <row r="19" spans="1:2">
      <c r="B19" t="str">
        <f>+"ROW" &amp;test_data!A28</f>
        <v>ROW27</v>
      </c>
    </row>
    <row r="20" spans="1:2">
      <c r="B20" t="str">
        <f>+"ROW" &amp;test_data!A29</f>
        <v>ROW28</v>
      </c>
    </row>
    <row r="21" spans="1:2">
      <c r="B21" t="str">
        <f>+"ROW" &amp;test_data!A30</f>
        <v>ROW29</v>
      </c>
    </row>
    <row r="22" spans="1:2">
      <c r="B22" t="str">
        <f>+"ROW" &amp;test_data!A31</f>
        <v>ROW30</v>
      </c>
    </row>
    <row r="23" spans="1:2">
      <c r="B23" t="str">
        <f>+"ROW" &amp;test_data!A32</f>
        <v>ROW31</v>
      </c>
    </row>
    <row r="24" spans="1:2">
      <c r="A24" t="s">
        <v>123</v>
      </c>
      <c r="B24" t="e">
        <f>"ROW" &amp;+VLOOKUP(A24,test_data!C:C,2,0)</f>
        <v>#REF!</v>
      </c>
    </row>
    <row r="25" spans="1:2">
      <c r="A25" t="s">
        <v>123</v>
      </c>
      <c r="B25" t="e">
        <f>"ROW" &amp;+VLOOKUP(A25,test_data!C:C,2,0)</f>
        <v>#REF!</v>
      </c>
    </row>
    <row r="26" spans="1:2">
      <c r="A26" t="s">
        <v>123</v>
      </c>
      <c r="B26" t="e">
        <f>"ROW" &amp;+VLOOKUP(A26,test_data!C:C,2,0)</f>
        <v>#REF!</v>
      </c>
    </row>
    <row r="27" spans="1:2">
      <c r="A27" t="s">
        <v>130</v>
      </c>
      <c r="B27" t="e">
        <f>"ROW" &amp;+VLOOKUP(A27,test_data!C:C,2,0)</f>
        <v>#REF!</v>
      </c>
    </row>
    <row r="28" spans="1:2">
      <c r="A28" t="s">
        <v>133</v>
      </c>
      <c r="B28" t="e">
        <f>"ROW" &amp;+VLOOKUP(A28,test_data!C:C,2,0)</f>
        <v>#REF!</v>
      </c>
    </row>
    <row r="29" spans="1:2">
      <c r="A29" t="s">
        <v>130</v>
      </c>
      <c r="B29" t="e">
        <f>"ROW" &amp;+VLOOKUP(A29,test_data!C:C,2,0)</f>
        <v>#REF!</v>
      </c>
    </row>
    <row r="30" spans="1:2">
      <c r="A30" t="s">
        <v>131</v>
      </c>
      <c r="B30" t="e">
        <f>"ROW" &amp;+VLOOKUP(A30,test_data!C:C,2,0)</f>
        <v>#REF!</v>
      </c>
    </row>
    <row r="31" spans="1:2">
      <c r="A31" t="s">
        <v>132</v>
      </c>
      <c r="B31" t="e">
        <f>"ROW" &amp;+VLOOKUP(A31,test_data!C:C,2,0)</f>
        <v>#REF!</v>
      </c>
    </row>
    <row r="32" spans="1:2">
      <c r="A32" t="s">
        <v>123</v>
      </c>
      <c r="B32" t="e">
        <f>"ROW" &amp;+VLOOKUP(A32,test_data!C:C,2,0)</f>
        <v>#REF!</v>
      </c>
    </row>
    <row r="33" spans="1:2">
      <c r="A33" t="s">
        <v>29</v>
      </c>
      <c r="B33" t="e">
        <f>"ROW" &amp;+VLOOKUP(A33,test_data!C:C,2,0)</f>
        <v>#REF!</v>
      </c>
    </row>
    <row r="34" spans="1:2">
      <c r="A34" t="s">
        <v>150</v>
      </c>
      <c r="B34" t="e">
        <f>"ROW" &amp;+VLOOKUP(A34,test_data!C:C,2,0)</f>
        <v>#REF!</v>
      </c>
    </row>
    <row r="35" spans="1:2">
      <c r="A35" t="s">
        <v>132</v>
      </c>
      <c r="B35" t="e">
        <f>"ROW" &amp;+VLOOKUP(A35,test_data!C:C,2,0)</f>
        <v>#REF!</v>
      </c>
    </row>
    <row r="36" spans="1:2">
      <c r="A36" t="s">
        <v>132</v>
      </c>
      <c r="B36" t="e">
        <f>"ROW" &amp;+VLOOKUP(A36,test_data!C:C,2,0)</f>
        <v>#REF!</v>
      </c>
    </row>
    <row r="37" spans="1:2">
      <c r="A37" t="s">
        <v>134</v>
      </c>
      <c r="B37" t="e">
        <f>"ROW" &amp;+VLOOKUP(A37,test_data!C:C,2,0)</f>
        <v>#REF!</v>
      </c>
    </row>
    <row r="38" spans="1:2">
      <c r="A38" t="s">
        <v>134</v>
      </c>
      <c r="B38" t="e">
        <f>"ROW" &amp;+VLOOKUP(A38,test_data!C:C,2,0)</f>
        <v>#REF!</v>
      </c>
    </row>
    <row r="39" spans="1:2">
      <c r="A39" t="s">
        <v>123</v>
      </c>
      <c r="B39" t="e">
        <f>"ROW" &amp;+VLOOKUP(A39,test_data!C:C,2,0)</f>
        <v>#REF!</v>
      </c>
    </row>
    <row r="40" spans="1:2">
      <c r="A40" t="s">
        <v>138</v>
      </c>
      <c r="B40" t="e">
        <f>"ROW" &amp;+VLOOKUP(A40,test_data!C:C,2,0)</f>
        <v>#REF!</v>
      </c>
    </row>
    <row r="41" spans="1:2">
      <c r="A41" t="s">
        <v>138</v>
      </c>
      <c r="B41" t="e">
        <f>"ROW" &amp;+VLOOKUP(A41,test_data!C:C,2,0)</f>
        <v>#REF!</v>
      </c>
    </row>
    <row r="42" spans="1:2">
      <c r="A42" t="s">
        <v>138</v>
      </c>
      <c r="B42" t="e">
        <f>"ROW" &amp;+VLOOKUP(A42,test_data!C:C,2,0)</f>
        <v>#REF!</v>
      </c>
    </row>
    <row r="43" spans="1:2">
      <c r="A43" t="s">
        <v>141</v>
      </c>
      <c r="B43" t="e">
        <f>"ROW" &amp;+VLOOKUP(A43,test_data!C:C,2,0)</f>
        <v>#REF!</v>
      </c>
    </row>
    <row r="44" spans="1:2">
      <c r="A44" t="s">
        <v>139</v>
      </c>
      <c r="B44" t="e">
        <f>"ROW" &amp;+VLOOKUP(A44,test_data!C:C,2,0)</f>
        <v>#REF!</v>
      </c>
    </row>
    <row r="45" spans="1:2">
      <c r="A45" t="s">
        <v>140</v>
      </c>
      <c r="B45" t="e">
        <f>"ROW" &amp;+VLOOKUP(A45,test_data!C:C,2,0)</f>
        <v>#REF!</v>
      </c>
    </row>
    <row r="46" spans="1:2">
      <c r="A46" t="s">
        <v>144</v>
      </c>
      <c r="B46" t="e">
        <f>"ROW" &amp;+VLOOKUP(A46,test_data!C:C,2,0)</f>
        <v>#REF!</v>
      </c>
    </row>
    <row r="47" spans="1:2">
      <c r="A47" t="s">
        <v>144</v>
      </c>
      <c r="B47" t="e">
        <f>"ROW" &amp;+VLOOKUP(A47,test_data!C:C,2,0)</f>
        <v>#REF!</v>
      </c>
    </row>
    <row r="48" spans="1:2">
      <c r="A48" t="s">
        <v>144</v>
      </c>
      <c r="B48" t="e">
        <f>"ROW" &amp;+VLOOKUP(A48,test_data!C:C,2,0)</f>
        <v>#REF!</v>
      </c>
    </row>
    <row r="49" spans="1:2">
      <c r="A49" t="s">
        <v>145</v>
      </c>
      <c r="B49" t="e">
        <f>"ROW" &amp;+VLOOKUP(A49,test_data!C:C,2,0)</f>
        <v>#REF!</v>
      </c>
    </row>
    <row r="50" spans="1:2">
      <c r="A50" t="s">
        <v>138</v>
      </c>
      <c r="B50" t="e">
        <f>"ROW" &amp;+VLOOKUP(A50,test_data!C:C,2,0)</f>
        <v>#REF!</v>
      </c>
    </row>
    <row r="51" spans="1:2">
      <c r="A51" t="s">
        <v>141</v>
      </c>
      <c r="B51" t="e">
        <f>"ROW" &amp;+VLOOKUP(A51,test_data!C:C,2,0)</f>
        <v>#REF!</v>
      </c>
    </row>
    <row r="52" spans="1:2">
      <c r="A52" t="s">
        <v>149</v>
      </c>
      <c r="B52" t="e">
        <f>"ROW" &amp;+VLOOKUP(A52,test_data!C:C,2,0)</f>
        <v>#REF!</v>
      </c>
    </row>
    <row r="53" spans="1:2">
      <c r="A53" t="s">
        <v>149</v>
      </c>
      <c r="B53" t="e">
        <f>"ROW" &amp;+VLOOKUP(A53,test_data!C:C,2,0)</f>
        <v>#REF!</v>
      </c>
    </row>
    <row r="54" spans="1:2">
      <c r="A54" t="s">
        <v>123</v>
      </c>
      <c r="B54" t="e">
        <f>"ROW" &amp;+VLOOKUP(A54,test_data!C:C,2,0)</f>
        <v>#REF!</v>
      </c>
    </row>
    <row r="55" spans="1:2">
      <c r="A55" t="s">
        <v>131</v>
      </c>
      <c r="B55" t="e">
        <f>"ROW" &amp;+VLOOKUP(A55,test_data!C:C,2,0)</f>
        <v>#REF!</v>
      </c>
    </row>
    <row r="56" spans="1:2">
      <c r="A56" t="s">
        <v>130</v>
      </c>
      <c r="B56" t="e">
        <f>"ROW" &amp;+VLOOKUP(A56,test_data!C:C,2,0)</f>
        <v>#REF!</v>
      </c>
    </row>
    <row r="57" spans="1:2">
      <c r="A57" t="s">
        <v>144</v>
      </c>
      <c r="B57" t="e">
        <f>"ROW" &amp;+VLOOKUP(A57,test_data!C:C,2,0)</f>
        <v>#REF!</v>
      </c>
    </row>
    <row r="58" spans="1:2">
      <c r="A58" t="s">
        <v>148</v>
      </c>
      <c r="B58" t="e">
        <f>"ROW" &amp;+VLOOKUP(A58,test_data!C:C,2,0)</f>
        <v>#REF!</v>
      </c>
    </row>
    <row r="59" spans="1:2">
      <c r="A59" t="s">
        <v>148</v>
      </c>
      <c r="B59" t="e">
        <f>"ROW" &amp;+VLOOKUP(A59,test_data!C:C,2,0)</f>
        <v>#REF!</v>
      </c>
    </row>
    <row r="60" spans="1:2">
      <c r="A60" t="s">
        <v>131</v>
      </c>
      <c r="B60" t="e">
        <f>"ROW" &amp;+VLOOKUP(A60,test_data!C:C,2,0)</f>
        <v>#REF!</v>
      </c>
    </row>
    <row r="61" spans="1:2">
      <c r="A61" t="s">
        <v>123</v>
      </c>
      <c r="B61" t="e">
        <f>"ROW" &amp;+VLOOKUP(A61,test_data!C:C,2,0)</f>
        <v>#REF!</v>
      </c>
    </row>
    <row r="62" spans="1:2">
      <c r="A62" t="s">
        <v>123</v>
      </c>
      <c r="B62" t="e">
        <f>"ROW" &amp;+VLOOKUP(A62,test_data!C:C,2,0)</f>
        <v>#REF!</v>
      </c>
    </row>
    <row r="63" spans="1:2">
      <c r="A63" t="s">
        <v>123</v>
      </c>
      <c r="B63" t="e">
        <f>"ROW" &amp;+VLOOKUP(A63,test_data!C:C,2,0)</f>
        <v>#REF!</v>
      </c>
    </row>
    <row r="64" spans="1:2">
      <c r="A64" t="s">
        <v>123</v>
      </c>
      <c r="B64" t="e">
        <f>"ROW" &amp;+VLOOKUP(A64,test_data!C:C,2,0)</f>
        <v>#REF!</v>
      </c>
    </row>
    <row r="65" spans="1:2">
      <c r="A65" t="s">
        <v>131</v>
      </c>
      <c r="B65" t="e">
        <f>"ROW" &amp;+VLOOKUP(A65,test_data!C:C,2,0)</f>
        <v>#REF!</v>
      </c>
    </row>
    <row r="66" spans="1:2">
      <c r="A66" t="s">
        <v>131</v>
      </c>
      <c r="B66" t="e">
        <f>"ROW" &amp;+VLOOKUP(A66,test_data!C:C,2,0)</f>
        <v>#REF!</v>
      </c>
    </row>
    <row r="67" spans="1:2">
      <c r="A67" t="s">
        <v>131</v>
      </c>
      <c r="B67" t="e">
        <f>"ROW" &amp;+VLOOKUP(A67,test_data!C:C,2,0)</f>
        <v>#REF!</v>
      </c>
    </row>
    <row r="68" spans="1:2">
      <c r="A68" t="s">
        <v>148</v>
      </c>
      <c r="B68" t="e">
        <f>"ROW" &amp;+VLOOKUP(A68,test_data!C:C,2,0)</f>
        <v>#REF!</v>
      </c>
    </row>
    <row r="69" spans="1:2">
      <c r="A69" t="s">
        <v>123</v>
      </c>
      <c r="B69" t="e">
        <f>"ROW" &amp;+VLOOKUP(A69,test_data!C:C,2,0)</f>
        <v>#REF!</v>
      </c>
    </row>
    <row r="70" spans="1:2">
      <c r="A70" t="s">
        <v>131</v>
      </c>
      <c r="B70" t="e">
        <f>"ROW" &amp;+VLOOKUP(A70,test_data!C:C,2,0)</f>
        <v>#REF!</v>
      </c>
    </row>
    <row r="71" spans="1:2">
      <c r="A71" t="s">
        <v>123</v>
      </c>
      <c r="B71" t="e">
        <f>"ROW" &amp;+VLOOKUP(A71,test_data!C:C,2,0)</f>
        <v>#REF!</v>
      </c>
    </row>
    <row r="72" spans="1:2">
      <c r="A72" t="s">
        <v>123</v>
      </c>
      <c r="B72" t="e">
        <f>"ROW" &amp;+VLOOKUP(A72,test_data!C:C,2,0)</f>
        <v>#REF!</v>
      </c>
    </row>
    <row r="73" spans="1:2">
      <c r="A73" t="s">
        <v>134</v>
      </c>
      <c r="B73" t="e">
        <f>"ROW" &amp;+VLOOKUP(A73,test_data!C:C,2,0)</f>
        <v>#REF!</v>
      </c>
    </row>
    <row r="74" spans="1:2">
      <c r="A74" t="s">
        <v>123</v>
      </c>
      <c r="B74" t="e">
        <f>"ROW" &amp;+VLOOKUP(A74,test_data!C:C,2,0)</f>
        <v>#REF!</v>
      </c>
    </row>
    <row r="75" spans="1:2">
      <c r="A75" t="s">
        <v>131</v>
      </c>
      <c r="B75" t="e">
        <f>"ROW" &amp;+VLOOKUP(A75,test_data!C:C,2,0)</f>
        <v>#REF!</v>
      </c>
    </row>
    <row r="76" spans="1:2">
      <c r="A76" t="s">
        <v>123</v>
      </c>
      <c r="B76" t="e">
        <f>"ROW" &amp;+VLOOKUP(A76,test_data!C:C,2,0)</f>
        <v>#REF!</v>
      </c>
    </row>
    <row r="77" spans="1:2">
      <c r="A77" t="s">
        <v>123</v>
      </c>
      <c r="B77" t="e">
        <f>"ROW" &amp;+VLOOKUP(A77,test_data!C:C,2,0)</f>
        <v>#REF!</v>
      </c>
    </row>
    <row r="78" spans="1:2">
      <c r="A78" t="s">
        <v>123</v>
      </c>
      <c r="B78" t="e">
        <f>"ROW" &amp;+VLOOKUP(A78,test_data!C:C,2,0)</f>
        <v>#REF!</v>
      </c>
    </row>
    <row r="79" spans="1:2">
      <c r="A79" t="s">
        <v>123</v>
      </c>
      <c r="B79" t="e">
        <f>"ROW" &amp;+VLOOKUP(A79,test_data!C:C,2,0)</f>
        <v>#REF!</v>
      </c>
    </row>
    <row r="80" spans="1:2">
      <c r="A80" t="s">
        <v>139</v>
      </c>
      <c r="B80" t="e">
        <f>"ROW" &amp;+VLOOKUP(A80,test_data!C:C,2,0)</f>
        <v>#REF!</v>
      </c>
    </row>
    <row r="81" spans="1:2">
      <c r="A81" t="s">
        <v>140</v>
      </c>
      <c r="B81" t="e">
        <f>"ROW" &amp;+VLOOKUP(A81,test_data!C:C,2,0)</f>
        <v>#REF!</v>
      </c>
    </row>
    <row r="82" spans="1:2">
      <c r="A82" t="s">
        <v>123</v>
      </c>
      <c r="B82" t="e">
        <f>"ROW" &amp;+VLOOKUP(A82,test_data!C:C,2,0)</f>
        <v>#REF!</v>
      </c>
    </row>
    <row r="83" spans="1:2">
      <c r="A83" t="s">
        <v>123</v>
      </c>
      <c r="B83" t="e">
        <f>"ROW" &amp;+VLOOKUP(A83,test_data!C:C,2,0)</f>
        <v>#REF!</v>
      </c>
    </row>
    <row r="84" spans="1:2">
      <c r="A84" t="s">
        <v>150</v>
      </c>
      <c r="B84" t="e">
        <f>"ROW" &amp;+VLOOKUP(A84,test_data!C:C,2,0)</f>
        <v>#REF!</v>
      </c>
    </row>
    <row r="85" spans="1:2">
      <c r="A85" t="s">
        <v>29</v>
      </c>
      <c r="B85" t="e">
        <f>"ROW" &amp;+VLOOKUP(A85,test_data!C:C,2,0)</f>
        <v>#REF!</v>
      </c>
    </row>
    <row r="86" spans="1:2">
      <c r="A86" t="s">
        <v>138</v>
      </c>
      <c r="B86" t="e">
        <f>"ROW" &amp;+VLOOKUP(A86,test_data!C:C,2,0)</f>
        <v>#REF!</v>
      </c>
    </row>
    <row r="87" spans="1:2">
      <c r="A87" t="s">
        <v>138</v>
      </c>
      <c r="B87" t="e">
        <f>"ROW" &amp;+VLOOKUP(A87,test_data!C:C,2,0)</f>
        <v>#REF!</v>
      </c>
    </row>
    <row r="88" spans="1:2">
      <c r="A88" t="s">
        <v>138</v>
      </c>
      <c r="B88" t="e">
        <f>"ROW" &amp;+VLOOKUP(A88,test_data!C:C,2,0)</f>
        <v>#REF!</v>
      </c>
    </row>
    <row r="89" spans="1:2">
      <c r="A89" t="s">
        <v>138</v>
      </c>
      <c r="B89" t="e">
        <f>"ROW" &amp;+VLOOKUP(A89,test_data!C:C,2,0)</f>
        <v>#REF!</v>
      </c>
    </row>
    <row r="90" spans="1:2">
      <c r="A90" t="s">
        <v>138</v>
      </c>
      <c r="B90" t="e">
        <f>"ROW" &amp;+VLOOKUP(A90,test_data!C:C,2,0)</f>
        <v>#REF!</v>
      </c>
    </row>
    <row r="91" spans="1:2">
      <c r="A91" t="s">
        <v>138</v>
      </c>
      <c r="B91" t="e">
        <f>"ROW" &amp;+VLOOKUP(A91,test_data!C:C,2,0)</f>
        <v>#REF!</v>
      </c>
    </row>
    <row r="92" spans="1:2">
      <c r="A92" t="s">
        <v>138</v>
      </c>
      <c r="B92" t="e">
        <f>"ROW" &amp;+VLOOKUP(A92,test_data!C:C,2,0)</f>
        <v>#REF!</v>
      </c>
    </row>
    <row r="93" spans="1:2">
      <c r="A93" t="s">
        <v>138</v>
      </c>
      <c r="B93" t="e">
        <f>"ROW" &amp;+VLOOKUP(A93,test_data!C:C,2,0)</f>
        <v>#REF!</v>
      </c>
    </row>
    <row r="94" spans="1:2">
      <c r="A94" t="s">
        <v>138</v>
      </c>
      <c r="B94" t="e">
        <f>"ROW" &amp;+VLOOKUP(A94,test_data!C:C,2,0)</f>
        <v>#REF!</v>
      </c>
    </row>
    <row r="95" spans="1:2">
      <c r="A95" t="s">
        <v>138</v>
      </c>
      <c r="B95" t="e">
        <f>"ROW" &amp;+VLOOKUP(A95,test_data!C:C,2,0)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export</vt:lpstr>
      <vt:lpstr>test_data</vt:lpstr>
      <vt:lpstr>user</vt:lpstr>
      <vt:lpstr>grid_mark_place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cpaesleme</dc:creator>
  <cp:lastModifiedBy>Hagar the Horrible</cp:lastModifiedBy>
  <dcterms:created xsi:type="dcterms:W3CDTF">2009-06-18T06:23:08Z</dcterms:created>
  <dcterms:modified xsi:type="dcterms:W3CDTF">2009-10-22T01:30:52Z</dcterms:modified>
</cp:coreProperties>
</file>